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Members" sheetId="1" r:id="rId4"/>
    <sheet state="visible" name="Product Backlog" sheetId="2" r:id="rId5"/>
    <sheet state="visible" name="Sprint #1" sheetId="3" r:id="rId6"/>
    <sheet state="hidden" name="Lists" sheetId="4" r:id="rId7"/>
    <sheet state="visible" name="Sprint #2" sheetId="5" r:id="rId8"/>
    <sheet state="visible" name="Sprint #3" sheetId="6" r:id="rId9"/>
    <sheet state="visible" name="Sprint Template (Make a copy!)" sheetId="7" r:id="rId10"/>
  </sheets>
  <definedNames/>
  <calcPr/>
  <extLst>
    <ext uri="GoogleSheetsCustomDataVersion2">
      <go:sheetsCustomData xmlns:go="http://customooxmlschemas.google.com/" r:id="rId11" roundtripDataChecksum="kQ5yE4cpm82g4bF/fovS+uS6LR+uCSvWHCHnLiK18Ls="/>
    </ext>
  </extLst>
</workbook>
</file>

<file path=xl/sharedStrings.xml><?xml version="1.0" encoding="utf-8"?>
<sst xmlns="http://schemas.openxmlformats.org/spreadsheetml/2006/main" count="497" uniqueCount="188">
  <si>
    <t>Enter the First Name of Each Team Member</t>
  </si>
  <si>
    <t>HOW TO USE:</t>
  </si>
  <si>
    <t xml:space="preserve">1. File Menu --&gt; Make a copy </t>
  </si>
  <si>
    <t>Abdullah Waleed bin Maneea</t>
  </si>
  <si>
    <t>2. Save to one team member's Google drive</t>
  </si>
  <si>
    <t>Abdullah Yousef aldhayan</t>
  </si>
  <si>
    <t>3. Share file with other team members</t>
  </si>
  <si>
    <t>Abdullah Ibrahim aloud</t>
  </si>
  <si>
    <t>4. Edit First Names on this tab</t>
  </si>
  <si>
    <t>Fahad Ali alghubayshi</t>
  </si>
  <si>
    <t>5. Add your team name to the name of this document</t>
  </si>
  <si>
    <t>6. For each sprint, duplicate the sprint template and change the start date</t>
  </si>
  <si>
    <t>DOCUMENT HISTORY</t>
  </si>
  <si>
    <t>Created by Abdullah bin Maneea</t>
  </si>
  <si>
    <t>Sprint Number</t>
  </si>
  <si>
    <t>User Story ID</t>
  </si>
  <si>
    <t>User Story Title</t>
  </si>
  <si>
    <t>Brief Description</t>
  </si>
  <si>
    <t>Additional Information</t>
  </si>
  <si>
    <t>Priority</t>
  </si>
  <si>
    <t>Status</t>
  </si>
  <si>
    <t>US-01</t>
  </si>
  <si>
    <t>Define Project Scope and Objectives</t>
  </si>
  <si>
    <t>As a team, we want to define the project scope and objectives so that all members share a clear understanding of what the system should achieve.</t>
  </si>
  <si>
    <t>Identify system boundaries, target users, and key goals.</t>
  </si>
  <si>
    <t>3-low</t>
  </si>
  <si>
    <t>Done</t>
  </si>
  <si>
    <t>US-02</t>
  </si>
  <si>
    <t>Identify System Modules and Features</t>
  </si>
  <si>
    <t>As a team, we want to identify all system modules and features so that the product backlog is comprehensive and well-structured.</t>
  </si>
  <si>
    <t>Map features to modules: schedule management, reservations, reporting, auth.</t>
  </si>
  <si>
    <t>2-medium</t>
  </si>
  <si>
    <t>US-03</t>
  </si>
  <si>
    <t>Create Product Backlog</t>
  </si>
  <si>
    <t>As a team, we want to create a complete product backlog so that all user stories are listed, prioritized, and ready for sprint planning.</t>
  </si>
  <si>
    <t>Each story must have an ID, title, description, priority, and sprint assignment.</t>
  </si>
  <si>
    <t>1-high</t>
  </si>
  <si>
    <t>US-04</t>
  </si>
  <si>
    <t>Estimate Effort for User Stories</t>
  </si>
  <si>
    <t>As a team, we want to estimate the effort for each user story so that sprint planning is based on realistic workload.</t>
  </si>
  <si>
    <t>Assign expected hours to each story; use team consensus.</t>
  </si>
  <si>
    <t>US-05</t>
  </si>
  <si>
    <t>Assign Team Roles and Responsibilities</t>
  </si>
  <si>
    <t>As a team, we want to assign roles to each member so that responsibilities are clear throughout the project.</t>
  </si>
  <si>
    <t>Define who leads which module; assign Scrum Master and note-taker.</t>
  </si>
  <si>
    <t>US-06</t>
  </si>
  <si>
    <t>Set Up Sprint Sheet and Scrum Template</t>
  </si>
  <si>
    <t>As a team, we want to set up the Scrum Excel template so that sprint tracking is ready from the start.</t>
  </si>
  <si>
    <t>Fill in team members, sprint dates, tasks, and hours in the template.</t>
  </si>
  <si>
    <t>US-07</t>
  </si>
  <si>
    <t>Document Team Meetings</t>
  </si>
  <si>
    <t>As a team, we want to document all group meetings so that progress, decisions, and roadblocks are recorded.</t>
  </si>
  <si>
    <t>Each meeting entry: date, attendees, agenda, decisions made, next steps.</t>
  </si>
  <si>
    <t>US-08</t>
  </si>
  <si>
    <t>Write Project Initiation Report</t>
  </si>
  <si>
    <t>As a team, we want to write the Phase 1 report so that the project vision, scope, and backlog are formally documented.</t>
  </si>
  <si>
    <t>Includes cover page, scope, objectives, target audience, and backlog summary.</t>
  </si>
  <si>
    <t>US-09</t>
  </si>
  <si>
    <t>Draw Use Case and Sequence Diagrams</t>
  </si>
  <si>
    <t>As a team, we want to produce use case and sequence diagrams so that system interactions are clearly modeled.</t>
  </si>
  <si>
    <t>Cover: schedule creation, ticket reservation, cancellation flows.</t>
  </si>
  <si>
    <t>US-10</t>
  </si>
  <si>
    <t>Draw Class and Activity Diagrams</t>
  </si>
  <si>
    <t>As a team, we want to produce class and activity diagrams so that the system structure and logic are documented.</t>
  </si>
  <si>
    <t>Class diagram covers all entities and relationships; activity covers reservation process.</t>
  </si>
  <si>
    <t>US-11</t>
  </si>
  <si>
    <t>Define Architectural Design and Pattern</t>
  </si>
  <si>
    <t>As a team, we want to define and justify the system architecture so that components and interactions are clearly structured.</t>
  </si>
  <si>
    <t>Select MVC or Layered Architecture; define components; include architecture diagram.</t>
  </si>
  <si>
    <t>US-12</t>
  </si>
  <si>
    <t>Implement Train Schedule Management</t>
  </si>
  <si>
    <t>As an admin, I want to create, update, and delete train schedules so that upcoming trips are accurately maintained.</t>
  </si>
  <si>
    <t>Fields: train ID, route, origin, destination, departure/arrival time, price, capacity. Soft-delete; log changes.</t>
  </si>
  <si>
    <t>US-13</t>
  </si>
  <si>
    <t>Implement Route and Time Definition</t>
  </si>
  <si>
    <t>As an admin, I want to define routes with departure and arrival times so that full journey details are captured.</t>
  </si>
  <si>
    <t>Support multiple stops; times stored with timezone info.</t>
  </si>
  <si>
    <t>US-14</t>
  </si>
  <si>
    <t>Implement Seat Capacity and Pricing</t>
  </si>
  <si>
    <t>As an admin, I want to specify seat capacity and pricing per schedule so that availability and cost are tracked.</t>
  </si>
  <si>
    <t>Capacity tied to train type; pricing can vary by class.</t>
  </si>
  <si>
    <t>US-15</t>
  </si>
  <si>
    <t>Implement Passenger Profile Management</t>
  </si>
  <si>
    <t>As a staff member, I want to register, update, and delete passenger profiles so that passenger data is accurate.</t>
  </si>
  <si>
    <t>Fields: full name, national ID, date of birth, phone, email. Soft-delete with audit trail.</t>
  </si>
  <si>
    <t>US-16</t>
  </si>
  <si>
    <t>Implement Secure Authentication and RBAC</t>
  </si>
  <si>
    <t>As a user, I want to log in securely and access only what my role permits so that the system is protected.</t>
  </si>
  <si>
    <t>Password hashing (bcrypt); session expiry; Admin: full access; Staff: reservations and passengers only.</t>
  </si>
  <si>
    <t>US-17</t>
  </si>
  <si>
    <t>Submit Initial Implementation with Screenshot</t>
  </si>
  <si>
    <t>As a team, we want to submit an early running version of the system so that initial progress can be demonstrated.</t>
  </si>
  <si>
    <t>Include sample code and a screenshot of a working feature inside the Phase 2 report.</t>
  </si>
  <si>
    <t>US-18</t>
  </si>
  <si>
    <t>Implement Ticket Reservation and Seat Validation</t>
  </si>
  <si>
    <t>As a staff member, I want to process reservations and validate seat availability so that overbooking is prevented.</t>
  </si>
  <si>
    <t>Link passenger to schedule; assign seat; real-time availability check; atomic seat count update.</t>
  </si>
  <si>
    <t>US-19</t>
  </si>
  <si>
    <t>Implement Ticket Cancellation and Booking Confirmation</t>
  </si>
  <si>
    <t>As a staff member, I want to cancel tickets and generate booking confirmations so that passengers are properly informed.</t>
  </si>
  <si>
    <t>Update status to Cancelled; log reason; increment seat count; confirmation includes all booking details.</t>
  </si>
  <si>
    <t>US-20</t>
  </si>
  <si>
    <t>Implement Passenger Booking History</t>
  </si>
  <si>
    <t>As a staff member, I want to view a passenger's booking history so that I can assist with queries.</t>
  </si>
  <si>
    <t>Display all past, active, and cancelled reservations per passenger.</t>
  </si>
  <si>
    <t>US-21</t>
  </si>
  <si>
    <t>Implement Admin Dashboard</t>
  </si>
  <si>
    <t>As an admin, I want to view summary statistics and occupancy rates so that I have a quick operational overview.</t>
  </si>
  <si>
    <t>Widgets: total trains, bookings today, revenue, active passengers; occupancy % per train.</t>
  </si>
  <si>
    <t>US-22</t>
  </si>
  <si>
    <t>Implement Reporting and Analytics</t>
  </si>
  <si>
    <t>As an admin, I want to generate booking and revenue reports so that operational performance is documented.</t>
  </si>
  <si>
    <t>Daily/weekly/monthly booking reports; revenue breakdown by route/train; utilization rates. Export to PDF/Excel.</t>
  </si>
  <si>
    <t>US-23</t>
  </si>
  <si>
    <t>Implement Data Validation and Integrity</t>
  </si>
  <si>
    <t>As the system, I want to enforce data validation and integrity constraints so that only valid data is stored.</t>
  </si>
  <si>
    <t>Server-side validation for all inputs; foreign key constraints in database.</t>
  </si>
  <si>
    <t>US-24</t>
  </si>
  <si>
    <t>Deploy Web and Mobile Application</t>
  </si>
  <si>
    <t>As a user, I want to access the system via web and mobile apps so that it is accessible from any device.</t>
  </si>
  <si>
    <t>Responsive web app; iOS and Android support; cloud deployment with auto-scaling and 99.9% SLA.</t>
  </si>
  <si>
    <t>US-25</t>
  </si>
  <si>
    <t>Implement Backup and Recovery</t>
  </si>
  <si>
    <t>As an admin, I want automated data backup and recovery so that data is protected against loss.</t>
  </si>
  <si>
    <t>Daily automated backups; tested restore procedure; 30-day retention policy.</t>
  </si>
  <si>
    <t>US-26</t>
  </si>
  <si>
    <t>Prepare and Execute Test Cases</t>
  </si>
  <si>
    <t>As a team, we want to prepare and run test cases for all sprints so that system quality is verified.</t>
  </si>
  <si>
    <t>Test cases executed on the website covering all features from sprints 1-3; document pass/fail results in test report</t>
  </si>
  <si>
    <t>US-27</t>
  </si>
  <si>
    <t>Publish GitHub First Release</t>
  </si>
  <si>
    <t>As a team, we want to publish the first release on GitHub so that the client can access and run the system.</t>
  </si>
  <si>
    <t>All members added as collaborators; at least 75% of features functional; include GitHub link in report.</t>
  </si>
  <si>
    <t>US-28</t>
  </si>
  <si>
    <t>Deliver Final Presentation</t>
  </si>
  <si>
    <t>As a team, we want to deliver a PowerPoint presentation covering all sprints so that our work is demonstrated.</t>
  </si>
  <si>
    <t>Every member must present and highlight their role in the project.</t>
  </si>
  <si>
    <t xml:space="preserve">Task </t>
  </si>
  <si>
    <t>Expected Hours</t>
  </si>
  <si>
    <t>Actual Hours</t>
  </si>
  <si>
    <t>Person</t>
  </si>
  <si>
    <t>Date Completed</t>
  </si>
  <si>
    <t>Chart Dates</t>
  </si>
  <si>
    <t>Completed Hours On Date</t>
  </si>
  <si>
    <t>Current Completed Work</t>
  </si>
  <si>
    <t>Current Remaining Work</t>
  </si>
  <si>
    <t>Ideal Remaining Work</t>
  </si>
  <si>
    <t>Define project scope, objectives, and target audience</t>
  </si>
  <si>
    <t>Sprint Number:</t>
  </si>
  <si>
    <t>Hours Assigned</t>
  </si>
  <si>
    <t>Hours Completed</t>
  </si>
  <si>
    <t>Percentage Complete</t>
  </si>
  <si>
    <t>Write Phase 1 initiation report (cover page, scope, vision)</t>
  </si>
  <si>
    <t>Start Date:</t>
  </si>
  <si>
    <t>Identify system modules and map features to each module</t>
  </si>
  <si>
    <t>Sprint Length</t>
  </si>
  <si>
    <t>Document all team meetings (date, agenda, decisions, next steps)</t>
  </si>
  <si>
    <t>Hours Per Day:</t>
  </si>
  <si>
    <t>Create full product backlog with IDs, priorities, sprint assignment</t>
  </si>
  <si>
    <t>Estimate effort (expected hours) for all user stories</t>
  </si>
  <si>
    <t>Assign team roles and responsibilities to each member</t>
  </si>
  <si>
    <t>Set up Scrum Excel template: members, dates, tasks, hours</t>
  </si>
  <si>
    <t>Create Sprint 1 with IDs, Tasks, Names, Estimated Hours</t>
  </si>
  <si>
    <t>Total:</t>
  </si>
  <si>
    <t>To Do</t>
  </si>
  <si>
    <t>In Progress</t>
  </si>
  <si>
    <t>Draw use case and sequence diagrams for main system flows</t>
  </si>
  <si>
    <t>Implement train schedule CRUD (create, update, soft-delete)</t>
  </si>
  <si>
    <t>Draw class diagram and activity diagram for reservation process</t>
  </si>
  <si>
    <t>Implement route and time definition with multi-stop support</t>
  </si>
  <si>
    <t>Define system architecture (MVC), components, and diagram</t>
  </si>
  <si>
    <t>Implement passenger profile management (register, edit, delete)</t>
  </si>
  <si>
    <t>Implement secure login and RBAC (admin/staff roles)</t>
  </si>
  <si>
    <t>Submit initial implementation: working code + screenshot in report</t>
  </si>
  <si>
    <t>Implement ticket reservation, seat validation, auto seat update</t>
  </si>
  <si>
    <t>Implement admin dashboard (summary stats, occupancy rates)</t>
  </si>
  <si>
    <t>Write and execute test cases for all sprints, document results</t>
  </si>
  <si>
    <t>Implement ticket cancellation and booking confirmation generation</t>
  </si>
  <si>
    <t>Implement booking reports and revenue analytics with export</t>
  </si>
  <si>
    <t>Prepare and deliver final PowerPoint presentation</t>
  </si>
  <si>
    <t>Implement passenger booking history view</t>
  </si>
  <si>
    <t>Implement data validation and database integrity constraints</t>
  </si>
  <si>
    <t>Publish GitHub first release, add collaborators, verify it runs</t>
  </si>
  <si>
    <t>Deploy web/mobile app on cloud with auto-scaling and SLA</t>
  </si>
  <si>
    <t>Implement automated backup and recovery (30-day retention)</t>
  </si>
  <si>
    <t>Implement seat capacity and class-based pricing per schedule</t>
  </si>
  <si>
    <t>S1</t>
  </si>
  <si>
    <t>Brief 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</si>
</sst>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12.0"/>
      <color rgb="FF000000"/>
      <name val="Calibri"/>
    </font>
    <font>
      <sz val="11.0"/>
      <color rgb="FF000000"/>
      <name val="Inconsolata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164" xfId="0" applyFont="1" applyNumberFormat="1"/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3" numFmtId="0" xfId="0" applyFont="1"/>
    <xf borderId="0" fillId="0" fontId="4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1" fillId="0" fontId="2" numFmtId="0" xfId="0" applyBorder="1" applyFont="1"/>
    <xf borderId="0" fillId="0" fontId="2" numFmtId="14" xfId="0" applyFont="1" applyNumberFormat="1"/>
    <xf borderId="0" fillId="0" fontId="2" numFmtId="0" xfId="0" applyAlignment="1" applyFont="1">
      <alignment horizontal="center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3" fillId="2" fontId="5" numFmtId="0" xfId="0" applyBorder="1" applyFill="1" applyFont="1"/>
    <xf borderId="2" fillId="0" fontId="2" numFmtId="164" xfId="0" applyBorder="1" applyFont="1" applyNumberFormat="1"/>
    <xf borderId="2" fillId="2" fontId="5" numFmtId="0" xfId="0" applyBorder="1" applyFont="1"/>
    <xf borderId="2" fillId="0" fontId="2" numFmtId="9" xfId="0" applyAlignment="1" applyBorder="1" applyFont="1" applyNumberFormat="1">
      <alignment horizontal="center"/>
    </xf>
    <xf borderId="3" fillId="2" fontId="5" numFmtId="4" xfId="0" applyBorder="1" applyFont="1" applyNumberFormat="1"/>
    <xf borderId="2" fillId="0" fontId="2" numFmtId="4" xfId="0" applyBorder="1" applyFont="1" applyNumberFormat="1"/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2" numFmtId="9" xfId="0" applyAlignment="1" applyBorder="1" applyFont="1" applyNumberFormat="1">
      <alignment horizontal="center"/>
    </xf>
    <xf borderId="0" fillId="0" fontId="3" numFmtId="14" xfId="0" applyFont="1" applyNumberFormat="1"/>
    <xf borderId="0" fillId="0" fontId="6" numFmtId="14" xfId="0" applyFont="1" applyNumberFormat="1"/>
    <xf borderId="0" fillId="0" fontId="7" numFmtId="0" xfId="0" applyFont="1"/>
  </cellXfs>
  <cellStyles count="1">
    <cellStyle xfId="0" name="Normal" builtinId="0"/>
  </cellStyles>
  <dxfs count="8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>
        <color rgb="FF000000"/>
      </font>
      <fill>
        <patternFill patternType="none"/>
      </fill>
      <border/>
    </dxf>
    <dxf>
      <font/>
      <fill>
        <patternFill patternType="solid">
          <fgColor rgb="FF6D9EEB"/>
          <bgColor rgb="FF6D9EEB"/>
        </patternFill>
      </fill>
      <border/>
    </dxf>
    <dxf>
      <font>
        <color rgb="FF000000"/>
      </font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000000"/>
                </a:solidFill>
                <a:latin typeface="Roboto"/>
              </a:defRPr>
            </a:pPr>
            <a:r>
              <a:rPr b="0" i="0" sz="1800">
                <a:solidFill>
                  <a:srgbClr val="000000"/>
                </a:solidFill>
                <a:latin typeface="Roboto"/>
              </a:rPr>
              <a:t>BURNDOWN</a:t>
            </a:r>
          </a:p>
        </c:rich>
      </c:tx>
      <c:overlay val="0"/>
    </c:title>
    <c:plotArea>
      <c:layout/>
      <c:lineChart>
        <c:ser>
          <c:idx val="0"/>
          <c:order val="0"/>
          <c:tx>
            <c:v>Current Remaining Work</c:v>
          </c:tx>
          <c:spPr>
            <a:ln cmpd="sng" w="19050">
              <a:solidFill>
                <a:srgbClr val="3366CC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3366CC">
                  <a:alpha val="100000"/>
                </a:srgbClr>
              </a:solidFill>
              <a:ln cmpd="sng">
                <a:solidFill>
                  <a:srgbClr val="3366CC">
                    <a:alpha val="100000"/>
                  </a:srgbClr>
                </a:solidFill>
              </a:ln>
            </c:spPr>
          </c:marker>
          <c:trendline>
            <c:name>Linear (Current Remaining Work)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'Sprint #1'!$Q$2:$Q$40</c:f>
            </c:strRef>
          </c:cat>
          <c:val>
            <c:numRef>
              <c:f>'Sprint #1'!$T$2:$T$40</c:f>
              <c:numCache/>
            </c:numRef>
          </c:val>
          <c:smooth val="0"/>
        </c:ser>
        <c:ser>
          <c:idx val="1"/>
          <c:order val="1"/>
          <c:tx>
            <c:v>Ideal Remaining Work</c:v>
          </c:tx>
          <c:spPr>
            <a:ln cmpd="sng" w="19050">
              <a:solidFill>
                <a:srgbClr val="DC391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#1'!$Q$2:$Q$40</c:f>
            </c:strRef>
          </c:cat>
          <c:val>
            <c:numRef>
              <c:f>'Sprint #1'!$U$2:$U$40</c:f>
              <c:numCache/>
            </c:numRef>
          </c:val>
          <c:smooth val="0"/>
        </c:ser>
        <c:ser>
          <c:idx val="2"/>
          <c:order val="2"/>
          <c:tx>
            <c:v>Completed Hours On Date</c:v>
          </c:tx>
          <c:spPr>
            <a:ln cmpd="sng" w="19050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#1'!$Q$2:$Q$40</c:f>
            </c:strRef>
          </c:cat>
          <c:val>
            <c:numRef>
              <c:f>'Sprint #1'!$R$2:$R$40</c:f>
              <c:numCache/>
            </c:numRef>
          </c:val>
          <c:smooth val="0"/>
        </c:ser>
        <c:axId val="1848848828"/>
        <c:axId val="1004287869"/>
      </c:lineChart>
      <c:catAx>
        <c:axId val="1848848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c:rich>
          </c:tx>
          <c:overlay val="0"/>
        </c:title>
        <c:numFmt formatCode="yyyy\-mm\-dd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004287869"/>
      </c:catAx>
      <c:valAx>
        <c:axId val="100428786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222222"/>
                    </a:solidFill>
                    <a:latin typeface="Roboto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222222"/>
                </a:solidFill>
                <a:latin typeface="Roboto"/>
              </a:defRPr>
            </a:pPr>
          </a:p>
        </c:txPr>
        <c:crossAx val="1848848828"/>
      </c:valAx>
    </c:plotArea>
    <c:legend>
      <c:legendPos val="t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000000"/>
                </a:solidFill>
                <a:latin typeface="Roboto"/>
              </a:defRPr>
            </a:pPr>
            <a:r>
              <a:rPr b="0" i="0" sz="1800">
                <a:solidFill>
                  <a:srgbClr val="000000"/>
                </a:solidFill>
                <a:latin typeface="Roboto"/>
              </a:rPr>
              <a:t>BURNDOWN</a:t>
            </a:r>
          </a:p>
        </c:rich>
      </c:tx>
      <c:overlay val="0"/>
    </c:title>
    <c:plotArea>
      <c:layout/>
      <c:lineChart>
        <c:ser>
          <c:idx val="0"/>
          <c:order val="0"/>
          <c:tx>
            <c:v>Current Remaining Work</c:v>
          </c:tx>
          <c:spPr>
            <a:ln cmpd="sng" w="19050">
              <a:solidFill>
                <a:srgbClr val="3366CC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3366CC">
                  <a:alpha val="100000"/>
                </a:srgbClr>
              </a:solidFill>
              <a:ln cmpd="sng">
                <a:solidFill>
                  <a:srgbClr val="3366CC">
                    <a:alpha val="100000"/>
                  </a:srgbClr>
                </a:solidFill>
              </a:ln>
            </c:spPr>
          </c:marker>
          <c:trendline>
            <c:name>Linear (Current Remaining Work)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'Sprint Template (Make a copy!)'!$Q$2:$Q$40</c:f>
            </c:strRef>
          </c:cat>
          <c:val>
            <c:numRef>
              <c:f>'Sprint Template (Make a copy!)'!$T$2:$T$40</c:f>
              <c:numCache/>
            </c:numRef>
          </c:val>
          <c:smooth val="0"/>
        </c:ser>
        <c:ser>
          <c:idx val="1"/>
          <c:order val="1"/>
          <c:tx>
            <c:v>Ideal Remaining Work</c:v>
          </c:tx>
          <c:spPr>
            <a:ln cmpd="sng" w="19050">
              <a:solidFill>
                <a:srgbClr val="DC391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Template (Make a copy!)'!$Q$2:$Q$40</c:f>
            </c:strRef>
          </c:cat>
          <c:val>
            <c:numRef>
              <c:f>'Sprint Template (Make a copy!)'!$U$2:$U$40</c:f>
              <c:numCache/>
            </c:numRef>
          </c:val>
          <c:smooth val="0"/>
        </c:ser>
        <c:ser>
          <c:idx val="2"/>
          <c:order val="2"/>
          <c:tx>
            <c:v>Completed Hours On Date</c:v>
          </c:tx>
          <c:spPr>
            <a:ln cmpd="sng" w="19050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Template (Make a copy!)'!$Q$2:$Q$40</c:f>
            </c:strRef>
          </c:cat>
          <c:val>
            <c:numRef>
              <c:f>'Sprint Template (Make a copy!)'!$R$2:$R$40</c:f>
              <c:numCache/>
            </c:numRef>
          </c:val>
          <c:smooth val="0"/>
        </c:ser>
        <c:axId val="431941287"/>
        <c:axId val="810690272"/>
      </c:lineChart>
      <c:catAx>
        <c:axId val="431941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c:rich>
          </c:tx>
          <c:overlay val="0"/>
        </c:title>
        <c:numFmt formatCode="yyyy\-mm\-dd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810690272"/>
      </c:catAx>
      <c:valAx>
        <c:axId val="81069027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222222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222222"/>
                    </a:solidFill>
                    <a:latin typeface="Roboto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222222"/>
                </a:solidFill>
                <a:latin typeface="Roboto"/>
              </a:defRPr>
            </a:pPr>
          </a:p>
        </c:txPr>
        <c:crossAx val="431941287"/>
      </c:valAx>
    </c:plotArea>
    <c:legend>
      <c:legendPos val="t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885825</xdr:colOff>
      <xdr:row>12</xdr:row>
      <xdr:rowOff>142875</xdr:rowOff>
    </xdr:from>
    <xdr:ext cx="8753475" cy="4476750"/>
    <xdr:graphicFrame>
      <xdr:nvGraphicFramePr>
        <xdr:cNvPr id="11512562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10</xdr:row>
      <xdr:rowOff>180975</xdr:rowOff>
    </xdr:from>
    <xdr:ext cx="8677275" cy="4476750"/>
    <xdr:graphicFrame>
      <xdr:nvGraphicFramePr>
        <xdr:cNvPr id="138213620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2.75"/>
    <col customWidth="1" min="6" max="6" width="33.13"/>
  </cols>
  <sheetData>
    <row r="1" ht="15.75" customHeight="1">
      <c r="A1" s="1" t="s">
        <v>0</v>
      </c>
      <c r="E1" s="1" t="s">
        <v>1</v>
      </c>
      <c r="F1" s="2" t="s">
        <v>2</v>
      </c>
    </row>
    <row r="2" ht="15.75" customHeight="1">
      <c r="A2" s="3" t="s">
        <v>3</v>
      </c>
      <c r="F2" s="2" t="s">
        <v>4</v>
      </c>
    </row>
    <row r="3" ht="15.75" customHeight="1">
      <c r="A3" s="3" t="s">
        <v>5</v>
      </c>
      <c r="F3" s="2" t="s">
        <v>6</v>
      </c>
    </row>
    <row r="4" ht="15.75" customHeight="1">
      <c r="A4" s="3" t="s">
        <v>7</v>
      </c>
      <c r="F4" s="2" t="s">
        <v>8</v>
      </c>
    </row>
    <row r="5" ht="15.75" customHeight="1">
      <c r="A5" s="3" t="s">
        <v>9</v>
      </c>
      <c r="F5" s="2" t="s">
        <v>10</v>
      </c>
    </row>
    <row r="6" ht="15.75" customHeight="1">
      <c r="A6" s="3"/>
      <c r="F6" s="2" t="s">
        <v>11</v>
      </c>
    </row>
    <row r="7" ht="15.75" customHeight="1">
      <c r="A7" s="3"/>
      <c r="E7" s="1"/>
    </row>
    <row r="8" ht="15.75" customHeight="1">
      <c r="E8" s="1" t="s">
        <v>12</v>
      </c>
    </row>
    <row r="9" ht="15.75" customHeight="1">
      <c r="E9" s="4">
        <v>46070.0</v>
      </c>
      <c r="F9" s="3" t="s">
        <v>13</v>
      </c>
    </row>
    <row r="10" ht="15.75" customHeight="1">
      <c r="E10" s="4"/>
      <c r="F10" s="3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0.75"/>
    <col customWidth="1" min="3" max="3" width="21.25"/>
    <col customWidth="1" min="4" max="4" width="72.38"/>
    <col customWidth="1" min="5" max="5" width="82.25"/>
    <col customWidth="1" min="6" max="6" width="15.25"/>
    <col customWidth="1" min="7" max="7" width="12.75"/>
  </cols>
  <sheetData>
    <row r="1" ht="15.75" customHeight="1">
      <c r="A1" s="5" t="s">
        <v>14</v>
      </c>
      <c r="B1" s="5" t="s">
        <v>15</v>
      </c>
      <c r="C1" s="6" t="s">
        <v>16</v>
      </c>
      <c r="D1" s="7" t="s">
        <v>17</v>
      </c>
      <c r="E1" s="8" t="s">
        <v>18</v>
      </c>
      <c r="F1" s="5" t="s">
        <v>19</v>
      </c>
      <c r="G1" s="5" t="s">
        <v>20</v>
      </c>
    </row>
    <row r="2" ht="15.75" customHeight="1">
      <c r="A2" s="8">
        <v>1.0</v>
      </c>
      <c r="B2" s="9" t="s">
        <v>21</v>
      </c>
      <c r="C2" s="9" t="s">
        <v>22</v>
      </c>
      <c r="D2" s="10" t="s">
        <v>23</v>
      </c>
      <c r="E2" s="9" t="s">
        <v>24</v>
      </c>
      <c r="F2" s="8" t="s">
        <v>25</v>
      </c>
      <c r="G2" s="8" t="s">
        <v>26</v>
      </c>
    </row>
    <row r="3" ht="15.75" customHeight="1">
      <c r="A3" s="8">
        <v>1.0</v>
      </c>
      <c r="B3" s="9" t="s">
        <v>27</v>
      </c>
      <c r="C3" s="7" t="s">
        <v>28</v>
      </c>
      <c r="D3" s="7" t="s">
        <v>29</v>
      </c>
      <c r="E3" s="9" t="s">
        <v>30</v>
      </c>
      <c r="F3" s="8" t="s">
        <v>31</v>
      </c>
      <c r="G3" s="8" t="s">
        <v>26</v>
      </c>
    </row>
    <row r="4" ht="15.75" customHeight="1">
      <c r="A4" s="8">
        <v>1.0</v>
      </c>
      <c r="B4" s="9" t="s">
        <v>32</v>
      </c>
      <c r="C4" s="7" t="s">
        <v>33</v>
      </c>
      <c r="D4" s="7" t="s">
        <v>34</v>
      </c>
      <c r="E4" s="7" t="s">
        <v>35</v>
      </c>
      <c r="F4" s="8" t="s">
        <v>36</v>
      </c>
      <c r="G4" s="8" t="s">
        <v>26</v>
      </c>
    </row>
    <row r="5" ht="15.75" customHeight="1">
      <c r="A5" s="8">
        <v>1.0</v>
      </c>
      <c r="B5" s="9" t="s">
        <v>37</v>
      </c>
      <c r="C5" s="7" t="s">
        <v>38</v>
      </c>
      <c r="D5" s="7" t="s">
        <v>39</v>
      </c>
      <c r="E5" s="7" t="s">
        <v>40</v>
      </c>
      <c r="F5" s="8" t="s">
        <v>31</v>
      </c>
      <c r="G5" s="8" t="s">
        <v>26</v>
      </c>
    </row>
    <row r="6" ht="15.75" customHeight="1">
      <c r="A6" s="8">
        <v>1.0</v>
      </c>
      <c r="B6" s="9" t="s">
        <v>41</v>
      </c>
      <c r="C6" s="7" t="s">
        <v>42</v>
      </c>
      <c r="D6" s="7" t="s">
        <v>43</v>
      </c>
      <c r="E6" s="9" t="s">
        <v>44</v>
      </c>
      <c r="F6" s="8" t="s">
        <v>36</v>
      </c>
      <c r="G6" s="8" t="s">
        <v>26</v>
      </c>
    </row>
    <row r="7" ht="15.75" customHeight="1">
      <c r="A7" s="8">
        <v>1.0</v>
      </c>
      <c r="B7" s="9" t="s">
        <v>45</v>
      </c>
      <c r="C7" s="7" t="s">
        <v>46</v>
      </c>
      <c r="D7" s="7" t="s">
        <v>47</v>
      </c>
      <c r="E7" s="9" t="s">
        <v>48</v>
      </c>
      <c r="F7" s="8" t="s">
        <v>31</v>
      </c>
      <c r="G7" s="8" t="s">
        <v>26</v>
      </c>
    </row>
    <row r="8" ht="15.75" customHeight="1">
      <c r="A8" s="8">
        <v>1.0</v>
      </c>
      <c r="B8" s="9" t="s">
        <v>49</v>
      </c>
      <c r="C8" s="7" t="s">
        <v>50</v>
      </c>
      <c r="D8" s="7" t="s">
        <v>51</v>
      </c>
      <c r="E8" s="7" t="s">
        <v>52</v>
      </c>
      <c r="F8" s="8" t="s">
        <v>25</v>
      </c>
      <c r="G8" s="8" t="s">
        <v>26</v>
      </c>
    </row>
    <row r="9" ht="15.75" customHeight="1">
      <c r="A9" s="8">
        <v>1.0</v>
      </c>
      <c r="B9" s="9" t="s">
        <v>53</v>
      </c>
      <c r="C9" s="7" t="s">
        <v>54</v>
      </c>
      <c r="D9" s="7" t="s">
        <v>55</v>
      </c>
      <c r="E9" s="7" t="s">
        <v>56</v>
      </c>
      <c r="F9" s="8" t="s">
        <v>25</v>
      </c>
      <c r="G9" s="8" t="s">
        <v>26</v>
      </c>
    </row>
    <row r="10" ht="15.75" customHeight="1">
      <c r="A10" s="8">
        <v>2.0</v>
      </c>
      <c r="B10" s="9" t="s">
        <v>57</v>
      </c>
      <c r="C10" s="7" t="s">
        <v>58</v>
      </c>
      <c r="D10" s="7" t="s">
        <v>59</v>
      </c>
      <c r="E10" s="7" t="s">
        <v>60</v>
      </c>
      <c r="F10" s="8" t="s">
        <v>25</v>
      </c>
      <c r="G10" s="8" t="s">
        <v>26</v>
      </c>
    </row>
    <row r="11" ht="15.75" customHeight="1">
      <c r="A11" s="8">
        <v>2.0</v>
      </c>
      <c r="B11" s="9" t="s">
        <v>61</v>
      </c>
      <c r="C11" s="7" t="s">
        <v>62</v>
      </c>
      <c r="D11" s="7" t="s">
        <v>63</v>
      </c>
      <c r="E11" s="7" t="s">
        <v>64</v>
      </c>
      <c r="F11" s="8" t="s">
        <v>25</v>
      </c>
      <c r="G11" s="8" t="s">
        <v>26</v>
      </c>
    </row>
    <row r="12" ht="15.75" customHeight="1">
      <c r="A12" s="8">
        <v>2.0</v>
      </c>
      <c r="B12" s="8" t="s">
        <v>65</v>
      </c>
      <c r="C12" s="9" t="s">
        <v>66</v>
      </c>
      <c r="D12" s="7" t="s">
        <v>67</v>
      </c>
      <c r="E12" s="7" t="s">
        <v>68</v>
      </c>
      <c r="F12" s="8" t="s">
        <v>31</v>
      </c>
      <c r="G12" s="8" t="s">
        <v>26</v>
      </c>
    </row>
    <row r="13" ht="15.75" customHeight="1">
      <c r="A13" s="8">
        <v>2.0</v>
      </c>
      <c r="B13" s="8" t="s">
        <v>69</v>
      </c>
      <c r="C13" s="7" t="s">
        <v>70</v>
      </c>
      <c r="D13" s="7" t="s">
        <v>71</v>
      </c>
      <c r="E13" s="7" t="s">
        <v>72</v>
      </c>
      <c r="F13" s="8" t="s">
        <v>31</v>
      </c>
      <c r="G13" s="8" t="s">
        <v>26</v>
      </c>
    </row>
    <row r="14" ht="15.75" customHeight="1">
      <c r="A14" s="8">
        <v>2.0</v>
      </c>
      <c r="B14" s="8" t="s">
        <v>73</v>
      </c>
      <c r="C14" s="7" t="s">
        <v>74</v>
      </c>
      <c r="D14" s="7" t="s">
        <v>75</v>
      </c>
      <c r="E14" s="7" t="s">
        <v>76</v>
      </c>
      <c r="F14" s="8" t="s">
        <v>31</v>
      </c>
      <c r="G14" s="11" t="s">
        <v>26</v>
      </c>
    </row>
    <row r="15" ht="15.75" customHeight="1">
      <c r="A15" s="8">
        <v>2.0</v>
      </c>
      <c r="B15" s="8" t="s">
        <v>77</v>
      </c>
      <c r="C15" s="7" t="s">
        <v>78</v>
      </c>
      <c r="D15" s="7" t="s">
        <v>79</v>
      </c>
      <c r="E15" s="7" t="s">
        <v>80</v>
      </c>
      <c r="F15" s="8" t="s">
        <v>31</v>
      </c>
      <c r="G15" s="11" t="s">
        <v>26</v>
      </c>
    </row>
    <row r="16" ht="15.75" customHeight="1">
      <c r="A16" s="8">
        <v>2.0</v>
      </c>
      <c r="B16" s="8" t="s">
        <v>81</v>
      </c>
      <c r="C16" s="7" t="s">
        <v>82</v>
      </c>
      <c r="D16" s="7" t="s">
        <v>83</v>
      </c>
      <c r="E16" s="7" t="s">
        <v>84</v>
      </c>
      <c r="F16" s="8" t="s">
        <v>36</v>
      </c>
      <c r="G16" s="8" t="s">
        <v>26</v>
      </c>
    </row>
    <row r="17" ht="15.75" customHeight="1">
      <c r="A17" s="8">
        <v>2.0</v>
      </c>
      <c r="B17" s="8" t="s">
        <v>85</v>
      </c>
      <c r="C17" s="7" t="s">
        <v>86</v>
      </c>
      <c r="D17" s="7" t="s">
        <v>87</v>
      </c>
      <c r="E17" s="7" t="s">
        <v>88</v>
      </c>
      <c r="F17" s="8" t="s">
        <v>31</v>
      </c>
      <c r="G17" s="11" t="s">
        <v>26</v>
      </c>
    </row>
    <row r="18" ht="15.75" customHeight="1">
      <c r="A18" s="8">
        <v>2.0</v>
      </c>
      <c r="B18" s="8" t="s">
        <v>89</v>
      </c>
      <c r="C18" s="7" t="s">
        <v>90</v>
      </c>
      <c r="D18" s="7" t="s">
        <v>91</v>
      </c>
      <c r="E18" s="7" t="s">
        <v>92</v>
      </c>
      <c r="F18" s="8" t="s">
        <v>36</v>
      </c>
      <c r="G18" s="8" t="s">
        <v>26</v>
      </c>
    </row>
    <row r="19" ht="15.75" customHeight="1">
      <c r="A19" s="8">
        <v>3.0</v>
      </c>
      <c r="B19" s="8" t="s">
        <v>93</v>
      </c>
      <c r="C19" s="7" t="s">
        <v>94</v>
      </c>
      <c r="D19" s="7" t="s">
        <v>95</v>
      </c>
      <c r="E19" s="7" t="s">
        <v>96</v>
      </c>
      <c r="F19" s="8" t="s">
        <v>31</v>
      </c>
      <c r="G19" s="8" t="s">
        <v>26</v>
      </c>
    </row>
    <row r="20" ht="15.75" customHeight="1">
      <c r="A20" s="8">
        <v>3.0</v>
      </c>
      <c r="B20" s="8" t="s">
        <v>97</v>
      </c>
      <c r="C20" s="7" t="s">
        <v>98</v>
      </c>
      <c r="D20" s="7" t="s">
        <v>99</v>
      </c>
      <c r="E20" s="7" t="s">
        <v>100</v>
      </c>
      <c r="F20" s="8" t="s">
        <v>25</v>
      </c>
      <c r="G20" s="11" t="s">
        <v>26</v>
      </c>
    </row>
    <row r="21" ht="15.75" customHeight="1">
      <c r="A21" s="8">
        <v>3.0</v>
      </c>
      <c r="B21" s="8" t="s">
        <v>101</v>
      </c>
      <c r="C21" s="7" t="s">
        <v>102</v>
      </c>
      <c r="D21" s="7" t="s">
        <v>103</v>
      </c>
      <c r="E21" s="7" t="s">
        <v>104</v>
      </c>
      <c r="F21" s="8" t="s">
        <v>25</v>
      </c>
      <c r="G21" s="11" t="s">
        <v>26</v>
      </c>
    </row>
    <row r="22" ht="15.75" customHeight="1">
      <c r="A22" s="8">
        <v>3.0</v>
      </c>
      <c r="B22" s="8" t="s">
        <v>105</v>
      </c>
      <c r="C22" s="7" t="s">
        <v>106</v>
      </c>
      <c r="D22" s="7" t="s">
        <v>107</v>
      </c>
      <c r="E22" s="7" t="s">
        <v>108</v>
      </c>
      <c r="F22" s="8" t="s">
        <v>31</v>
      </c>
      <c r="G22" s="11" t="s">
        <v>26</v>
      </c>
    </row>
    <row r="23" ht="15.75" customHeight="1">
      <c r="A23" s="8">
        <v>3.0</v>
      </c>
      <c r="B23" s="8" t="s">
        <v>109</v>
      </c>
      <c r="C23" s="7" t="s">
        <v>110</v>
      </c>
      <c r="D23" s="7" t="s">
        <v>111</v>
      </c>
      <c r="E23" s="7" t="s">
        <v>112</v>
      </c>
      <c r="F23" s="8" t="s">
        <v>31</v>
      </c>
      <c r="G23" s="11" t="s">
        <v>26</v>
      </c>
    </row>
    <row r="24" ht="15.75" customHeight="1">
      <c r="A24" s="8">
        <v>3.0</v>
      </c>
      <c r="B24" s="8" t="s">
        <v>113</v>
      </c>
      <c r="C24" s="7" t="s">
        <v>114</v>
      </c>
      <c r="D24" s="7" t="s">
        <v>115</v>
      </c>
      <c r="E24" s="7" t="s">
        <v>116</v>
      </c>
      <c r="F24" s="8" t="s">
        <v>36</v>
      </c>
      <c r="G24" s="11" t="s">
        <v>26</v>
      </c>
    </row>
    <row r="25" ht="15.75" customHeight="1">
      <c r="A25" s="8">
        <v>3.0</v>
      </c>
      <c r="B25" s="8" t="s">
        <v>117</v>
      </c>
      <c r="C25" s="7" t="s">
        <v>118</v>
      </c>
      <c r="D25" s="7" t="s">
        <v>119</v>
      </c>
      <c r="E25" s="7" t="s">
        <v>120</v>
      </c>
      <c r="F25" s="8" t="s">
        <v>25</v>
      </c>
      <c r="G25" s="11" t="s">
        <v>26</v>
      </c>
    </row>
    <row r="26" ht="15.75" customHeight="1">
      <c r="A26" s="8">
        <v>3.0</v>
      </c>
      <c r="B26" s="8" t="s">
        <v>121</v>
      </c>
      <c r="C26" s="7" t="s">
        <v>122</v>
      </c>
      <c r="D26" s="7" t="s">
        <v>123</v>
      </c>
      <c r="E26" s="7" t="s">
        <v>124</v>
      </c>
      <c r="F26" s="8" t="s">
        <v>25</v>
      </c>
      <c r="G26" s="11" t="s">
        <v>26</v>
      </c>
    </row>
    <row r="27" ht="15.75" customHeight="1">
      <c r="A27" s="8">
        <v>3.0</v>
      </c>
      <c r="B27" s="8" t="s">
        <v>125</v>
      </c>
      <c r="C27" s="7" t="s">
        <v>126</v>
      </c>
      <c r="D27" s="7" t="s">
        <v>127</v>
      </c>
      <c r="E27" s="12" t="s">
        <v>128</v>
      </c>
      <c r="F27" s="8" t="s">
        <v>25</v>
      </c>
      <c r="G27" s="11" t="s">
        <v>26</v>
      </c>
    </row>
    <row r="28" ht="15.75" customHeight="1">
      <c r="A28" s="8">
        <v>3.0</v>
      </c>
      <c r="B28" s="8" t="s">
        <v>129</v>
      </c>
      <c r="C28" s="7" t="s">
        <v>130</v>
      </c>
      <c r="D28" s="7" t="s">
        <v>131</v>
      </c>
      <c r="E28" s="7" t="s">
        <v>132</v>
      </c>
      <c r="F28" s="8" t="s">
        <v>25</v>
      </c>
      <c r="G28" s="8" t="s">
        <v>26</v>
      </c>
    </row>
    <row r="29" ht="15.75" customHeight="1">
      <c r="A29" s="8">
        <v>3.0</v>
      </c>
      <c r="B29" s="8" t="s">
        <v>133</v>
      </c>
      <c r="C29" s="7" t="s">
        <v>134</v>
      </c>
      <c r="D29" s="7" t="s">
        <v>135</v>
      </c>
      <c r="E29" s="7" t="s">
        <v>136</v>
      </c>
      <c r="F29" s="8" t="s">
        <v>31</v>
      </c>
      <c r="G29" s="8" t="s">
        <v>26</v>
      </c>
    </row>
    <row r="30" ht="15.75" customHeight="1">
      <c r="A30" s="8"/>
      <c r="B30" s="8"/>
      <c r="C30" s="7"/>
      <c r="D30" s="7"/>
      <c r="E30" s="7"/>
      <c r="F30" s="8"/>
      <c r="G30" s="8"/>
    </row>
    <row r="31" ht="15.75" customHeight="1">
      <c r="A31" s="8"/>
      <c r="B31" s="8"/>
      <c r="C31" s="7"/>
      <c r="D31" s="7"/>
      <c r="E31" s="7"/>
      <c r="F31" s="8"/>
      <c r="G31" s="8"/>
    </row>
    <row r="32" ht="15.75" customHeight="1">
      <c r="A32" s="8"/>
      <c r="B32" s="8"/>
      <c r="C32" s="7"/>
      <c r="D32" s="7"/>
      <c r="E32" s="7"/>
      <c r="F32" s="8"/>
      <c r="G32" s="8"/>
    </row>
    <row r="33" ht="15.75" customHeight="1">
      <c r="A33" s="8"/>
      <c r="B33" s="8"/>
      <c r="C33" s="7"/>
      <c r="D33" s="7"/>
      <c r="E33" s="7"/>
      <c r="F33" s="8"/>
      <c r="G33" s="8"/>
    </row>
    <row r="34" ht="15.75" customHeight="1">
      <c r="A34" s="8"/>
      <c r="B34" s="8"/>
      <c r="C34" s="7"/>
      <c r="D34" s="7"/>
      <c r="E34" s="7"/>
      <c r="F34" s="8"/>
      <c r="G34" s="8"/>
    </row>
    <row r="35" ht="15.75" customHeight="1">
      <c r="A35" s="8"/>
      <c r="B35" s="8"/>
      <c r="C35" s="7"/>
      <c r="D35" s="7"/>
      <c r="E35" s="7"/>
      <c r="F35" s="8"/>
      <c r="G35" s="8"/>
    </row>
    <row r="36" ht="15.75" customHeight="1">
      <c r="A36" s="8"/>
      <c r="B36" s="8"/>
      <c r="C36" s="7"/>
      <c r="D36" s="7"/>
      <c r="E36" s="7"/>
      <c r="F36" s="8"/>
      <c r="G36" s="8"/>
    </row>
    <row r="37" ht="15.75" customHeight="1">
      <c r="A37" s="8"/>
      <c r="B37" s="8"/>
      <c r="C37" s="7"/>
      <c r="D37" s="7"/>
      <c r="E37" s="7"/>
      <c r="F37" s="8"/>
      <c r="G37" s="8"/>
    </row>
    <row r="38" ht="15.75" customHeight="1">
      <c r="A38" s="8"/>
      <c r="B38" s="8"/>
      <c r="C38" s="7"/>
      <c r="D38" s="7"/>
      <c r="E38" s="7"/>
      <c r="F38" s="8"/>
      <c r="G38" s="8"/>
    </row>
    <row r="39" ht="15.75" customHeight="1">
      <c r="A39" s="8"/>
      <c r="B39" s="8"/>
      <c r="C39" s="7"/>
      <c r="D39" s="7"/>
      <c r="E39" s="7"/>
      <c r="F39" s="8"/>
      <c r="G39" s="8"/>
    </row>
    <row r="40" ht="15.75" customHeight="1">
      <c r="A40" s="8"/>
      <c r="B40" s="8"/>
      <c r="C40" s="7"/>
      <c r="D40" s="7"/>
      <c r="E40" s="7"/>
      <c r="F40" s="8"/>
      <c r="G40" s="8"/>
    </row>
    <row r="41" ht="15.75" customHeight="1">
      <c r="A41" s="8"/>
      <c r="B41" s="8"/>
      <c r="C41" s="7"/>
      <c r="D41" s="7"/>
      <c r="E41" s="7"/>
      <c r="F41" s="8"/>
      <c r="G41" s="8"/>
    </row>
    <row r="42" ht="15.75" customHeight="1">
      <c r="A42" s="8"/>
      <c r="B42" s="8"/>
      <c r="C42" s="7"/>
      <c r="D42" s="7"/>
      <c r="E42" s="7"/>
      <c r="F42" s="8"/>
      <c r="G42" s="8"/>
    </row>
    <row r="43" ht="15.75" customHeight="1">
      <c r="A43" s="8"/>
      <c r="B43" s="8"/>
      <c r="C43" s="7"/>
      <c r="D43" s="7"/>
      <c r="E43" s="7"/>
      <c r="F43" s="8"/>
      <c r="G43" s="8"/>
    </row>
    <row r="44" ht="15.75" customHeight="1">
      <c r="A44" s="8"/>
      <c r="B44" s="8"/>
      <c r="C44" s="7"/>
      <c r="D44" s="7"/>
      <c r="E44" s="7"/>
      <c r="F44" s="8"/>
      <c r="G44" s="8"/>
    </row>
    <row r="45" ht="15.75" customHeight="1">
      <c r="A45" s="8"/>
      <c r="B45" s="8"/>
      <c r="C45" s="7"/>
      <c r="D45" s="7"/>
      <c r="E45" s="7"/>
      <c r="F45" s="8"/>
      <c r="G45" s="8"/>
    </row>
    <row r="46" ht="12.75" customHeight="1">
      <c r="A46" s="8"/>
      <c r="B46" s="8"/>
      <c r="C46" s="7"/>
      <c r="D46" s="7"/>
      <c r="E46" s="7"/>
      <c r="F46" s="8"/>
      <c r="G46" s="8"/>
    </row>
    <row r="47" ht="12.75" customHeight="1">
      <c r="A47" s="8"/>
      <c r="B47" s="8"/>
      <c r="C47" s="7"/>
      <c r="D47" s="7"/>
      <c r="E47" s="7"/>
      <c r="F47" s="8"/>
      <c r="G47" s="8"/>
    </row>
    <row r="48" ht="12.75" customHeight="1">
      <c r="A48" s="8"/>
      <c r="B48" s="8"/>
      <c r="C48" s="7"/>
      <c r="D48" s="7"/>
      <c r="E48" s="7"/>
      <c r="F48" s="8"/>
      <c r="G48" s="8"/>
    </row>
    <row r="49" ht="12.75" customHeight="1">
      <c r="A49" s="8"/>
      <c r="B49" s="8"/>
      <c r="C49" s="7"/>
      <c r="D49" s="7"/>
      <c r="E49" s="7"/>
      <c r="F49" s="8"/>
      <c r="G49" s="8"/>
    </row>
    <row r="50" ht="12.75" customHeight="1">
      <c r="A50" s="8"/>
      <c r="B50" s="8"/>
      <c r="C50" s="7"/>
      <c r="D50" s="7"/>
      <c r="E50" s="7"/>
      <c r="F50" s="8"/>
      <c r="G50" s="8"/>
    </row>
    <row r="51" ht="12.75" customHeight="1">
      <c r="A51" s="8"/>
      <c r="B51" s="8"/>
      <c r="C51" s="7"/>
      <c r="D51" s="7"/>
      <c r="E51" s="7"/>
      <c r="F51" s="8"/>
      <c r="G51" s="8"/>
    </row>
    <row r="52" ht="12.75" customHeight="1">
      <c r="A52" s="8"/>
      <c r="B52" s="8"/>
      <c r="C52" s="7"/>
      <c r="D52" s="7"/>
      <c r="E52" s="7"/>
      <c r="F52" s="8"/>
      <c r="G52" s="8"/>
    </row>
    <row r="53" ht="12.75" customHeight="1">
      <c r="A53" s="8"/>
      <c r="B53" s="8"/>
      <c r="C53" s="7"/>
      <c r="D53" s="7"/>
      <c r="E53" s="7"/>
      <c r="F53" s="8"/>
      <c r="G53" s="8"/>
    </row>
    <row r="54" ht="12.75" customHeight="1">
      <c r="A54" s="8"/>
      <c r="B54" s="8"/>
      <c r="C54" s="7"/>
      <c r="D54" s="7"/>
      <c r="E54" s="7"/>
      <c r="F54" s="8"/>
      <c r="G54" s="8"/>
    </row>
    <row r="55" ht="12.75" customHeight="1">
      <c r="A55" s="8"/>
      <c r="B55" s="8"/>
      <c r="C55" s="7"/>
      <c r="D55" s="7"/>
      <c r="E55" s="7"/>
      <c r="F55" s="8"/>
      <c r="G55" s="8"/>
    </row>
    <row r="56" ht="12.75" customHeight="1">
      <c r="A56" s="8"/>
      <c r="B56" s="8"/>
      <c r="C56" s="7"/>
      <c r="D56" s="7"/>
      <c r="E56" s="7"/>
      <c r="F56" s="8"/>
      <c r="G56" s="8"/>
    </row>
    <row r="57" ht="12.75" customHeight="1">
      <c r="A57" s="8"/>
      <c r="B57" s="8"/>
      <c r="C57" s="7"/>
      <c r="D57" s="7"/>
      <c r="E57" s="7"/>
      <c r="F57" s="8"/>
      <c r="G57" s="8"/>
    </row>
    <row r="58" ht="12.75" customHeight="1">
      <c r="A58" s="8"/>
      <c r="B58" s="8"/>
      <c r="C58" s="7"/>
      <c r="D58" s="7"/>
      <c r="E58" s="7"/>
      <c r="F58" s="8"/>
      <c r="G58" s="8"/>
    </row>
    <row r="59" ht="12.75" customHeight="1">
      <c r="A59" s="8"/>
      <c r="B59" s="8"/>
      <c r="C59" s="7"/>
      <c r="D59" s="7"/>
      <c r="E59" s="7"/>
      <c r="F59" s="8"/>
      <c r="G59" s="8"/>
    </row>
    <row r="60" ht="12.75" customHeight="1">
      <c r="A60" s="8"/>
      <c r="B60" s="8"/>
      <c r="C60" s="7"/>
      <c r="D60" s="7"/>
      <c r="E60" s="7"/>
      <c r="F60" s="8"/>
      <c r="G60" s="8"/>
    </row>
    <row r="61" ht="12.75" customHeight="1">
      <c r="A61" s="8"/>
      <c r="B61" s="8"/>
      <c r="C61" s="7"/>
      <c r="D61" s="7"/>
      <c r="E61" s="7"/>
      <c r="F61" s="8"/>
      <c r="G61" s="8"/>
    </row>
    <row r="62" ht="12.75" customHeight="1">
      <c r="A62" s="8"/>
      <c r="B62" s="8"/>
      <c r="C62" s="7"/>
      <c r="D62" s="7"/>
      <c r="E62" s="7"/>
      <c r="F62" s="8"/>
      <c r="G62" s="8"/>
    </row>
    <row r="63" ht="12.75" customHeight="1">
      <c r="A63" s="8"/>
      <c r="B63" s="8"/>
      <c r="C63" s="7"/>
      <c r="D63" s="7"/>
      <c r="E63" s="7"/>
      <c r="F63" s="8"/>
      <c r="G63" s="8"/>
    </row>
    <row r="64" ht="12.75" customHeight="1">
      <c r="A64" s="8"/>
      <c r="B64" s="8"/>
      <c r="C64" s="7"/>
      <c r="D64" s="7"/>
      <c r="E64" s="7"/>
      <c r="F64" s="8"/>
      <c r="G64" s="8"/>
    </row>
    <row r="65" ht="12.75" customHeight="1">
      <c r="A65" s="8"/>
      <c r="B65" s="8"/>
      <c r="C65" s="7"/>
      <c r="D65" s="7"/>
      <c r="E65" s="7"/>
      <c r="F65" s="8"/>
      <c r="G65" s="8"/>
    </row>
    <row r="66" ht="12.75" customHeight="1">
      <c r="A66" s="8"/>
      <c r="B66" s="8"/>
      <c r="C66" s="7"/>
      <c r="D66" s="7"/>
      <c r="E66" s="7"/>
      <c r="F66" s="8"/>
      <c r="G66" s="8"/>
    </row>
    <row r="67" ht="12.75" customHeight="1">
      <c r="A67" s="8"/>
      <c r="B67" s="8"/>
      <c r="C67" s="7"/>
      <c r="D67" s="7"/>
      <c r="E67" s="7"/>
      <c r="F67" s="8"/>
      <c r="G67" s="8"/>
    </row>
    <row r="68" ht="12.75" customHeight="1">
      <c r="A68" s="8"/>
      <c r="B68" s="8"/>
      <c r="C68" s="7"/>
      <c r="D68" s="7"/>
      <c r="E68" s="7"/>
      <c r="F68" s="8"/>
      <c r="G68" s="8"/>
    </row>
    <row r="69" ht="12.75" customHeight="1">
      <c r="A69" s="8"/>
      <c r="B69" s="8"/>
      <c r="C69" s="7"/>
      <c r="D69" s="7"/>
      <c r="E69" s="7"/>
      <c r="F69" s="8"/>
      <c r="G69" s="8"/>
    </row>
    <row r="70" ht="12.75" customHeight="1">
      <c r="A70" s="8"/>
      <c r="B70" s="8"/>
      <c r="C70" s="7"/>
      <c r="D70" s="7"/>
      <c r="E70" s="7"/>
      <c r="F70" s="8"/>
      <c r="G70" s="8"/>
    </row>
    <row r="71" ht="12.75" customHeight="1">
      <c r="A71" s="8"/>
      <c r="B71" s="8"/>
      <c r="C71" s="7"/>
      <c r="D71" s="7"/>
      <c r="E71" s="7"/>
      <c r="F71" s="8"/>
      <c r="G71" s="8"/>
    </row>
    <row r="72" ht="12.75" customHeight="1">
      <c r="A72" s="8"/>
      <c r="B72" s="8"/>
      <c r="C72" s="7"/>
      <c r="D72" s="7"/>
      <c r="E72" s="7"/>
      <c r="F72" s="8"/>
      <c r="G72" s="8"/>
    </row>
    <row r="73" ht="12.75" customHeight="1">
      <c r="A73" s="8"/>
      <c r="B73" s="8"/>
      <c r="C73" s="7"/>
      <c r="D73" s="7"/>
      <c r="E73" s="7"/>
      <c r="F73" s="8"/>
      <c r="G73" s="8"/>
    </row>
    <row r="74" ht="12.75" customHeight="1">
      <c r="A74" s="8"/>
      <c r="B74" s="8"/>
      <c r="C74" s="7"/>
      <c r="D74" s="7"/>
      <c r="E74" s="7"/>
      <c r="F74" s="8"/>
      <c r="G74" s="8"/>
    </row>
    <row r="75" ht="12.75" customHeight="1">
      <c r="A75" s="8"/>
      <c r="B75" s="8"/>
      <c r="C75" s="7"/>
      <c r="D75" s="7"/>
      <c r="E75" s="7"/>
      <c r="F75" s="8"/>
      <c r="G75" s="8"/>
    </row>
    <row r="76" ht="12.75" customHeight="1">
      <c r="A76" s="8"/>
      <c r="B76" s="8"/>
      <c r="C76" s="7"/>
      <c r="D76" s="7"/>
      <c r="E76" s="7"/>
      <c r="F76" s="8"/>
      <c r="G76" s="8"/>
    </row>
    <row r="77" ht="12.75" customHeight="1">
      <c r="A77" s="8"/>
      <c r="B77" s="8"/>
      <c r="C77" s="7"/>
      <c r="D77" s="7"/>
      <c r="E77" s="7"/>
      <c r="F77" s="8"/>
      <c r="G77" s="8"/>
    </row>
    <row r="78" ht="12.75" customHeight="1">
      <c r="A78" s="8"/>
      <c r="B78" s="8"/>
      <c r="C78" s="7"/>
      <c r="D78" s="7"/>
      <c r="E78" s="7"/>
      <c r="F78" s="8"/>
      <c r="G78" s="8"/>
    </row>
    <row r="79" ht="12.75" customHeight="1">
      <c r="A79" s="8"/>
      <c r="B79" s="8"/>
      <c r="C79" s="7"/>
      <c r="D79" s="7"/>
      <c r="E79" s="7"/>
      <c r="F79" s="8"/>
      <c r="G79" s="8"/>
    </row>
    <row r="80" ht="12.75" customHeight="1">
      <c r="A80" s="8"/>
      <c r="B80" s="8"/>
      <c r="C80" s="7"/>
      <c r="D80" s="7"/>
      <c r="E80" s="7"/>
      <c r="F80" s="8"/>
      <c r="G80" s="8"/>
    </row>
    <row r="81" ht="12.75" customHeight="1">
      <c r="A81" s="8"/>
      <c r="B81" s="8"/>
      <c r="C81" s="7"/>
      <c r="D81" s="7"/>
      <c r="E81" s="7"/>
      <c r="F81" s="8"/>
      <c r="G81" s="8"/>
    </row>
    <row r="82" ht="12.75" customHeight="1">
      <c r="A82" s="8"/>
      <c r="B82" s="8"/>
      <c r="C82" s="7"/>
      <c r="D82" s="7"/>
      <c r="E82" s="7"/>
      <c r="F82" s="8"/>
      <c r="G82" s="8"/>
    </row>
    <row r="83" ht="12.75" customHeight="1">
      <c r="A83" s="8"/>
      <c r="B83" s="8"/>
      <c r="C83" s="7"/>
      <c r="D83" s="7"/>
      <c r="E83" s="7"/>
      <c r="F83" s="8"/>
      <c r="G83" s="8"/>
    </row>
    <row r="84" ht="12.75" customHeight="1">
      <c r="A84" s="8"/>
      <c r="B84" s="8"/>
      <c r="C84" s="7"/>
      <c r="D84" s="7"/>
      <c r="E84" s="7"/>
      <c r="F84" s="8"/>
      <c r="G84" s="8"/>
    </row>
    <row r="85" ht="12.75" customHeight="1">
      <c r="A85" s="8"/>
      <c r="B85" s="8"/>
      <c r="C85" s="7"/>
      <c r="D85" s="7"/>
      <c r="E85" s="7"/>
      <c r="F85" s="8"/>
      <c r="G85" s="8"/>
    </row>
    <row r="86" ht="12.75" customHeight="1">
      <c r="A86" s="8"/>
      <c r="B86" s="8"/>
      <c r="C86" s="7"/>
      <c r="D86" s="7"/>
      <c r="E86" s="7"/>
      <c r="F86" s="8"/>
      <c r="G86" s="8"/>
    </row>
    <row r="87" ht="12.75" customHeight="1">
      <c r="A87" s="8"/>
      <c r="B87" s="8"/>
      <c r="C87" s="7"/>
      <c r="D87" s="7"/>
      <c r="E87" s="7"/>
      <c r="F87" s="8"/>
      <c r="G87" s="8"/>
    </row>
    <row r="88" ht="12.75" customHeight="1">
      <c r="A88" s="8"/>
      <c r="B88" s="8"/>
      <c r="C88" s="7"/>
      <c r="D88" s="7"/>
      <c r="E88" s="7"/>
      <c r="F88" s="8"/>
      <c r="G88" s="8"/>
    </row>
    <row r="89" ht="12.75" customHeight="1">
      <c r="A89" s="8"/>
      <c r="B89" s="8"/>
      <c r="C89" s="7"/>
      <c r="D89" s="7"/>
      <c r="E89" s="7"/>
      <c r="F89" s="8"/>
      <c r="G89" s="8"/>
    </row>
    <row r="90" ht="12.75" customHeight="1">
      <c r="A90" s="8"/>
      <c r="B90" s="8"/>
      <c r="C90" s="7"/>
      <c r="D90" s="7"/>
      <c r="E90" s="7"/>
      <c r="F90" s="8"/>
      <c r="G90" s="8"/>
    </row>
    <row r="91" ht="12.75" customHeight="1">
      <c r="A91" s="8"/>
      <c r="B91" s="8"/>
      <c r="C91" s="7"/>
      <c r="D91" s="7"/>
      <c r="E91" s="7"/>
      <c r="F91" s="8"/>
      <c r="G91" s="8"/>
    </row>
    <row r="92" ht="12.75" customHeight="1">
      <c r="A92" s="8"/>
      <c r="B92" s="8"/>
      <c r="C92" s="7"/>
      <c r="D92" s="7"/>
      <c r="E92" s="7"/>
      <c r="F92" s="8"/>
      <c r="G92" s="8"/>
    </row>
    <row r="93" ht="12.75" customHeight="1">
      <c r="A93" s="8"/>
      <c r="B93" s="8"/>
      <c r="C93" s="7"/>
      <c r="D93" s="7"/>
      <c r="E93" s="7"/>
      <c r="F93" s="8"/>
      <c r="G93" s="8"/>
    </row>
    <row r="94" ht="12.75" customHeight="1">
      <c r="A94" s="8"/>
      <c r="B94" s="8"/>
      <c r="C94" s="7"/>
      <c r="D94" s="7"/>
      <c r="E94" s="7"/>
      <c r="F94" s="8"/>
      <c r="G94" s="8"/>
    </row>
    <row r="95" ht="12.75" customHeight="1">
      <c r="A95" s="8"/>
      <c r="B95" s="8"/>
      <c r="C95" s="7"/>
      <c r="D95" s="7"/>
      <c r="E95" s="7"/>
      <c r="F95" s="8"/>
      <c r="G95" s="8"/>
    </row>
    <row r="96" ht="12.75" customHeight="1">
      <c r="A96" s="8"/>
      <c r="B96" s="8"/>
      <c r="C96" s="7"/>
      <c r="D96" s="7"/>
      <c r="E96" s="7"/>
      <c r="F96" s="8"/>
      <c r="G96" s="8"/>
    </row>
    <row r="97" ht="12.75" customHeight="1">
      <c r="A97" s="8"/>
      <c r="B97" s="8"/>
      <c r="C97" s="7"/>
      <c r="D97" s="7"/>
      <c r="E97" s="7"/>
      <c r="F97" s="8"/>
      <c r="G97" s="8"/>
    </row>
    <row r="98" ht="12.75" customHeight="1">
      <c r="A98" s="8"/>
      <c r="B98" s="8"/>
      <c r="C98" s="7"/>
      <c r="D98" s="7"/>
      <c r="E98" s="7"/>
      <c r="F98" s="8"/>
      <c r="G98" s="8"/>
    </row>
    <row r="99" ht="12.75" customHeight="1">
      <c r="A99" s="8"/>
      <c r="B99" s="8"/>
      <c r="C99" s="7"/>
      <c r="D99" s="7"/>
      <c r="E99" s="7"/>
      <c r="F99" s="8"/>
      <c r="G99" s="8"/>
    </row>
    <row r="100" ht="12.75" customHeight="1">
      <c r="A100" s="8"/>
      <c r="B100" s="8"/>
      <c r="C100" s="7"/>
      <c r="D100" s="7"/>
      <c r="E100" s="7"/>
      <c r="F100" s="8"/>
      <c r="G100" s="8"/>
    </row>
    <row r="101" ht="12.75" customHeight="1">
      <c r="A101" s="8"/>
      <c r="B101" s="8"/>
      <c r="C101" s="7"/>
      <c r="D101" s="7"/>
      <c r="E101" s="7"/>
      <c r="F101" s="8"/>
      <c r="G101" s="8"/>
    </row>
    <row r="102" ht="12.75" customHeight="1">
      <c r="A102" s="8"/>
      <c r="B102" s="8"/>
      <c r="C102" s="7"/>
      <c r="D102" s="7"/>
      <c r="E102" s="7"/>
      <c r="F102" s="8"/>
      <c r="G102" s="8"/>
    </row>
    <row r="103" ht="12.75" customHeight="1">
      <c r="A103" s="8"/>
      <c r="B103" s="8"/>
      <c r="C103" s="7"/>
      <c r="D103" s="7"/>
      <c r="E103" s="7"/>
      <c r="F103" s="8"/>
      <c r="G103" s="8"/>
    </row>
    <row r="104" ht="12.75" customHeight="1">
      <c r="A104" s="8"/>
      <c r="B104" s="8"/>
      <c r="C104" s="7"/>
      <c r="D104" s="7"/>
      <c r="E104" s="7"/>
      <c r="F104" s="8"/>
      <c r="G104" s="8"/>
    </row>
    <row r="105" ht="12.75" customHeight="1">
      <c r="A105" s="8"/>
      <c r="B105" s="8"/>
      <c r="C105" s="7"/>
      <c r="D105" s="7"/>
      <c r="E105" s="7"/>
      <c r="F105" s="8"/>
      <c r="G105" s="8"/>
    </row>
    <row r="106" ht="12.75" customHeight="1">
      <c r="A106" s="8"/>
      <c r="B106" s="8"/>
      <c r="C106" s="7"/>
      <c r="D106" s="7"/>
      <c r="E106" s="7"/>
      <c r="F106" s="8"/>
      <c r="G106" s="8"/>
    </row>
    <row r="107" ht="12.75" customHeight="1">
      <c r="A107" s="8"/>
      <c r="B107" s="8"/>
      <c r="C107" s="7"/>
      <c r="D107" s="7"/>
      <c r="E107" s="7"/>
      <c r="F107" s="8"/>
      <c r="G107" s="8"/>
    </row>
    <row r="108" ht="12.75" customHeight="1">
      <c r="A108" s="8"/>
      <c r="B108" s="8"/>
      <c r="C108" s="7"/>
      <c r="D108" s="7"/>
      <c r="E108" s="7"/>
      <c r="F108" s="8"/>
      <c r="G108" s="8"/>
    </row>
    <row r="109" ht="12.75" customHeight="1">
      <c r="A109" s="8"/>
      <c r="B109" s="8"/>
      <c r="C109" s="7"/>
      <c r="D109" s="7"/>
      <c r="E109" s="7"/>
      <c r="F109" s="8"/>
      <c r="G109" s="8"/>
    </row>
    <row r="110" ht="12.75" customHeight="1">
      <c r="A110" s="8"/>
      <c r="B110" s="8"/>
      <c r="C110" s="7"/>
      <c r="D110" s="7"/>
      <c r="E110" s="7"/>
      <c r="F110" s="8"/>
      <c r="G110" s="8"/>
    </row>
    <row r="111" ht="12.75" customHeight="1">
      <c r="A111" s="8"/>
      <c r="B111" s="8"/>
      <c r="C111" s="7"/>
      <c r="D111" s="7"/>
      <c r="E111" s="7"/>
      <c r="F111" s="8"/>
      <c r="G111" s="8"/>
    </row>
    <row r="112" ht="12.75" customHeight="1">
      <c r="A112" s="8"/>
      <c r="B112" s="8"/>
      <c r="C112" s="7"/>
      <c r="D112" s="7"/>
      <c r="E112" s="7"/>
      <c r="F112" s="8"/>
      <c r="G112" s="8"/>
    </row>
    <row r="113" ht="12.75" customHeight="1">
      <c r="A113" s="8"/>
      <c r="B113" s="8"/>
      <c r="C113" s="7"/>
      <c r="D113" s="7"/>
      <c r="E113" s="7"/>
      <c r="F113" s="8"/>
      <c r="G113" s="8"/>
    </row>
    <row r="114" ht="12.75" customHeight="1">
      <c r="A114" s="8"/>
      <c r="B114" s="8"/>
      <c r="C114" s="7"/>
      <c r="D114" s="7"/>
      <c r="E114" s="7"/>
      <c r="F114" s="8"/>
      <c r="G114" s="8"/>
    </row>
    <row r="115" ht="12.75" customHeight="1">
      <c r="A115" s="8"/>
      <c r="B115" s="8"/>
      <c r="C115" s="7"/>
      <c r="D115" s="7"/>
      <c r="E115" s="7"/>
      <c r="F115" s="8"/>
      <c r="G115" s="8"/>
    </row>
    <row r="116" ht="12.75" customHeight="1">
      <c r="A116" s="8"/>
      <c r="B116" s="8"/>
      <c r="C116" s="7"/>
      <c r="D116" s="7"/>
      <c r="E116" s="7"/>
      <c r="F116" s="8"/>
      <c r="G116" s="8"/>
    </row>
    <row r="117" ht="12.75" customHeight="1">
      <c r="A117" s="8"/>
      <c r="B117" s="8"/>
      <c r="C117" s="7"/>
      <c r="D117" s="7"/>
      <c r="E117" s="7"/>
      <c r="F117" s="8"/>
      <c r="G117" s="8"/>
    </row>
    <row r="118" ht="12.75" customHeight="1">
      <c r="A118" s="8"/>
      <c r="B118" s="8"/>
      <c r="C118" s="7"/>
      <c r="D118" s="7"/>
      <c r="E118" s="7"/>
      <c r="F118" s="8"/>
      <c r="G118" s="8"/>
    </row>
    <row r="119" ht="12.75" customHeight="1">
      <c r="A119" s="8"/>
      <c r="B119" s="8"/>
      <c r="C119" s="7"/>
      <c r="D119" s="7"/>
      <c r="E119" s="7"/>
      <c r="F119" s="8"/>
      <c r="G119" s="8"/>
    </row>
    <row r="120" ht="12.75" customHeight="1">
      <c r="A120" s="8"/>
      <c r="B120" s="8"/>
      <c r="C120" s="7"/>
      <c r="D120" s="7"/>
      <c r="E120" s="7"/>
      <c r="F120" s="8"/>
      <c r="G120" s="8"/>
    </row>
    <row r="121" ht="12.75" customHeight="1">
      <c r="A121" s="8"/>
      <c r="B121" s="8"/>
      <c r="C121" s="7"/>
      <c r="D121" s="7"/>
      <c r="E121" s="7"/>
      <c r="F121" s="8"/>
      <c r="G121" s="8"/>
    </row>
    <row r="122" ht="12.75" customHeight="1">
      <c r="A122" s="8"/>
      <c r="B122" s="8"/>
      <c r="C122" s="7"/>
      <c r="D122" s="7"/>
      <c r="E122" s="7"/>
      <c r="F122" s="8"/>
      <c r="G122" s="8"/>
    </row>
    <row r="123" ht="12.75" customHeight="1">
      <c r="A123" s="8"/>
      <c r="B123" s="8"/>
      <c r="C123" s="7"/>
      <c r="D123" s="7"/>
      <c r="E123" s="7"/>
      <c r="F123" s="8"/>
      <c r="G123" s="8"/>
    </row>
    <row r="124" ht="12.75" customHeight="1">
      <c r="A124" s="8"/>
      <c r="B124" s="8"/>
      <c r="C124" s="7"/>
      <c r="D124" s="7"/>
      <c r="E124" s="7"/>
      <c r="F124" s="8"/>
      <c r="G124" s="8"/>
    </row>
    <row r="125" ht="12.75" customHeight="1">
      <c r="A125" s="8"/>
      <c r="B125" s="8"/>
      <c r="C125" s="7"/>
      <c r="D125" s="7"/>
      <c r="E125" s="7"/>
      <c r="F125" s="8"/>
      <c r="G125" s="8"/>
    </row>
    <row r="126" ht="12.75" customHeight="1">
      <c r="A126" s="8"/>
      <c r="B126" s="8"/>
      <c r="C126" s="7"/>
      <c r="D126" s="7"/>
      <c r="E126" s="7"/>
      <c r="F126" s="8"/>
      <c r="G126" s="8"/>
    </row>
    <row r="127" ht="12.75" customHeight="1">
      <c r="A127" s="8"/>
      <c r="B127" s="8"/>
      <c r="C127" s="7"/>
      <c r="D127" s="7"/>
      <c r="E127" s="7"/>
      <c r="F127" s="8"/>
      <c r="G127" s="8"/>
    </row>
    <row r="128" ht="12.75" customHeight="1">
      <c r="A128" s="8"/>
      <c r="B128" s="8"/>
      <c r="C128" s="7"/>
      <c r="D128" s="7"/>
      <c r="E128" s="7"/>
      <c r="F128" s="8"/>
      <c r="G128" s="8"/>
    </row>
    <row r="129" ht="12.75" customHeight="1">
      <c r="A129" s="8"/>
      <c r="B129" s="8"/>
      <c r="C129" s="7"/>
      <c r="D129" s="7"/>
      <c r="E129" s="7"/>
      <c r="F129" s="8"/>
      <c r="G129" s="8"/>
    </row>
    <row r="130" ht="12.75" customHeight="1">
      <c r="A130" s="8"/>
      <c r="B130" s="8"/>
      <c r="C130" s="7"/>
      <c r="D130" s="7"/>
      <c r="E130" s="7"/>
      <c r="F130" s="8"/>
      <c r="G130" s="8"/>
    </row>
    <row r="131" ht="12.75" customHeight="1">
      <c r="A131" s="8"/>
      <c r="B131" s="8"/>
      <c r="C131" s="7"/>
      <c r="D131" s="7"/>
      <c r="E131" s="7"/>
      <c r="F131" s="8"/>
      <c r="G131" s="8"/>
    </row>
    <row r="132" ht="12.75" customHeight="1">
      <c r="A132" s="8"/>
      <c r="B132" s="8"/>
      <c r="C132" s="7"/>
      <c r="D132" s="7"/>
      <c r="E132" s="7"/>
      <c r="F132" s="8"/>
      <c r="G132" s="8"/>
    </row>
    <row r="133" ht="12.75" customHeight="1">
      <c r="A133" s="8"/>
      <c r="B133" s="8"/>
      <c r="C133" s="7"/>
      <c r="D133" s="7"/>
      <c r="E133" s="7"/>
      <c r="F133" s="8"/>
      <c r="G133" s="8"/>
    </row>
    <row r="134" ht="12.75" customHeight="1">
      <c r="A134" s="8"/>
      <c r="B134" s="8"/>
      <c r="C134" s="7"/>
      <c r="D134" s="7"/>
      <c r="E134" s="7"/>
      <c r="F134" s="8"/>
      <c r="G134" s="8"/>
    </row>
    <row r="135" ht="12.75" customHeight="1">
      <c r="A135" s="8"/>
      <c r="B135" s="8"/>
      <c r="C135" s="7"/>
      <c r="D135" s="7"/>
      <c r="E135" s="7"/>
      <c r="F135" s="8"/>
      <c r="G135" s="8"/>
    </row>
    <row r="136" ht="12.75" customHeight="1">
      <c r="A136" s="8"/>
      <c r="B136" s="8"/>
      <c r="C136" s="7"/>
      <c r="D136" s="7"/>
      <c r="E136" s="7"/>
      <c r="F136" s="8"/>
      <c r="G136" s="8"/>
    </row>
    <row r="137" ht="12.75" customHeight="1">
      <c r="A137" s="8"/>
      <c r="B137" s="8"/>
      <c r="C137" s="7"/>
      <c r="D137" s="7"/>
      <c r="E137" s="7"/>
      <c r="F137" s="8"/>
      <c r="G137" s="8"/>
    </row>
    <row r="138" ht="12.75" customHeight="1">
      <c r="A138" s="8"/>
      <c r="B138" s="8"/>
      <c r="C138" s="7"/>
      <c r="D138" s="7"/>
      <c r="E138" s="7"/>
      <c r="F138" s="8"/>
      <c r="G138" s="8"/>
    </row>
    <row r="139" ht="12.75" customHeight="1">
      <c r="A139" s="8"/>
      <c r="B139" s="8"/>
      <c r="C139" s="7"/>
      <c r="D139" s="7"/>
      <c r="E139" s="7"/>
      <c r="F139" s="8"/>
      <c r="G139" s="8"/>
    </row>
    <row r="140" ht="12.75" customHeight="1">
      <c r="A140" s="8"/>
      <c r="B140" s="8"/>
      <c r="C140" s="7"/>
      <c r="D140" s="7"/>
      <c r="E140" s="7"/>
      <c r="F140" s="8"/>
      <c r="G140" s="8"/>
    </row>
    <row r="141" ht="12.75" customHeight="1">
      <c r="A141" s="8"/>
      <c r="B141" s="8"/>
      <c r="C141" s="7"/>
      <c r="D141" s="7"/>
      <c r="E141" s="7"/>
      <c r="F141" s="8"/>
      <c r="G141" s="8"/>
    </row>
    <row r="142" ht="12.75" customHeight="1">
      <c r="A142" s="8"/>
      <c r="B142" s="8"/>
      <c r="C142" s="7"/>
      <c r="D142" s="7"/>
      <c r="E142" s="7"/>
      <c r="F142" s="8"/>
      <c r="G142" s="8"/>
    </row>
    <row r="143" ht="12.75" customHeight="1">
      <c r="A143" s="8"/>
      <c r="B143" s="8"/>
      <c r="C143" s="7"/>
      <c r="D143" s="7"/>
      <c r="E143" s="7"/>
      <c r="F143" s="8"/>
      <c r="G143" s="8"/>
    </row>
    <row r="144" ht="12.75" customHeight="1">
      <c r="A144" s="8"/>
      <c r="B144" s="8"/>
      <c r="C144" s="7"/>
      <c r="D144" s="7"/>
      <c r="E144" s="7"/>
      <c r="F144" s="8"/>
      <c r="G144" s="8"/>
    </row>
    <row r="145" ht="12.75" customHeight="1">
      <c r="A145" s="8"/>
      <c r="B145" s="8"/>
      <c r="C145" s="7"/>
      <c r="D145" s="7"/>
      <c r="E145" s="7"/>
      <c r="F145" s="8"/>
      <c r="G145" s="8"/>
    </row>
    <row r="146" ht="12.75" customHeight="1">
      <c r="A146" s="8"/>
      <c r="B146" s="8"/>
      <c r="C146" s="7"/>
      <c r="D146" s="7"/>
      <c r="E146" s="7"/>
      <c r="F146" s="8"/>
      <c r="G146" s="8"/>
    </row>
    <row r="147" ht="12.75" customHeight="1">
      <c r="A147" s="8"/>
      <c r="B147" s="8"/>
      <c r="C147" s="7"/>
      <c r="D147" s="7"/>
      <c r="E147" s="7"/>
      <c r="F147" s="8"/>
      <c r="G147" s="8"/>
    </row>
    <row r="148" ht="12.75" customHeight="1">
      <c r="A148" s="8"/>
      <c r="B148" s="8"/>
      <c r="C148" s="7"/>
      <c r="D148" s="7"/>
      <c r="E148" s="7"/>
      <c r="F148" s="8"/>
      <c r="G148" s="8"/>
    </row>
    <row r="149" ht="12.75" customHeight="1">
      <c r="A149" s="8"/>
      <c r="B149" s="8"/>
      <c r="C149" s="7"/>
      <c r="D149" s="7"/>
      <c r="E149" s="7"/>
      <c r="F149" s="8"/>
      <c r="G149" s="8"/>
    </row>
    <row r="150" ht="12.75" customHeight="1">
      <c r="A150" s="8"/>
      <c r="B150" s="8"/>
      <c r="C150" s="7"/>
      <c r="D150" s="7"/>
      <c r="E150" s="7"/>
      <c r="F150" s="8"/>
      <c r="G150" s="8"/>
    </row>
    <row r="151" ht="12.75" customHeight="1">
      <c r="A151" s="8"/>
      <c r="B151" s="8"/>
      <c r="C151" s="7"/>
      <c r="D151" s="7"/>
      <c r="E151" s="7"/>
      <c r="F151" s="8"/>
      <c r="G151" s="8"/>
    </row>
    <row r="152" ht="12.75" customHeight="1">
      <c r="A152" s="8"/>
      <c r="B152" s="8"/>
      <c r="C152" s="7"/>
      <c r="D152" s="7"/>
      <c r="E152" s="7"/>
      <c r="F152" s="8"/>
      <c r="G152" s="8"/>
    </row>
    <row r="153" ht="12.75" customHeight="1">
      <c r="A153" s="8"/>
      <c r="B153" s="8"/>
      <c r="C153" s="7"/>
      <c r="D153" s="7"/>
      <c r="E153" s="7"/>
      <c r="F153" s="8"/>
      <c r="G153" s="8"/>
    </row>
    <row r="154" ht="12.75" customHeight="1">
      <c r="A154" s="8"/>
      <c r="B154" s="8"/>
      <c r="C154" s="7"/>
      <c r="D154" s="7"/>
      <c r="E154" s="7"/>
      <c r="F154" s="8"/>
      <c r="G154" s="8"/>
    </row>
    <row r="155" ht="12.75" customHeight="1">
      <c r="A155" s="8"/>
      <c r="B155" s="8"/>
      <c r="C155" s="7"/>
      <c r="D155" s="7"/>
      <c r="E155" s="7"/>
      <c r="F155" s="8"/>
      <c r="G155" s="8"/>
    </row>
    <row r="156" ht="12.75" customHeight="1">
      <c r="A156" s="8"/>
      <c r="B156" s="8"/>
      <c r="C156" s="7"/>
      <c r="D156" s="7"/>
      <c r="E156" s="7"/>
      <c r="F156" s="8"/>
      <c r="G156" s="8"/>
    </row>
    <row r="157" ht="12.75" customHeight="1">
      <c r="A157" s="8"/>
      <c r="B157" s="8"/>
      <c r="C157" s="7"/>
      <c r="D157" s="7"/>
      <c r="E157" s="7"/>
      <c r="F157" s="8"/>
      <c r="G157" s="8"/>
    </row>
    <row r="158" ht="12.75" customHeight="1">
      <c r="A158" s="8"/>
      <c r="B158" s="8"/>
      <c r="C158" s="7"/>
      <c r="D158" s="7"/>
      <c r="E158" s="7"/>
      <c r="F158" s="8"/>
      <c r="G158" s="8"/>
    </row>
    <row r="159" ht="12.75" customHeight="1">
      <c r="A159" s="8"/>
      <c r="B159" s="8"/>
      <c r="C159" s="7"/>
      <c r="D159" s="7"/>
      <c r="E159" s="7"/>
      <c r="F159" s="8"/>
      <c r="G159" s="8"/>
    </row>
    <row r="160" ht="12.75" customHeight="1">
      <c r="A160" s="8"/>
      <c r="B160" s="8"/>
      <c r="C160" s="7"/>
      <c r="D160" s="7"/>
      <c r="E160" s="7"/>
      <c r="F160" s="8"/>
      <c r="G160" s="8"/>
    </row>
    <row r="161" ht="12.75" customHeight="1">
      <c r="A161" s="8"/>
      <c r="B161" s="8"/>
      <c r="C161" s="7"/>
      <c r="D161" s="7"/>
      <c r="E161" s="7"/>
      <c r="F161" s="8"/>
      <c r="G161" s="8"/>
    </row>
    <row r="162" ht="12.75" customHeight="1">
      <c r="A162" s="8"/>
      <c r="B162" s="8"/>
      <c r="C162" s="7"/>
      <c r="D162" s="7"/>
      <c r="E162" s="7"/>
      <c r="F162" s="8"/>
      <c r="G162" s="8"/>
    </row>
    <row r="163" ht="12.75" customHeight="1">
      <c r="A163" s="8"/>
      <c r="B163" s="8"/>
      <c r="C163" s="7"/>
      <c r="D163" s="7"/>
      <c r="E163" s="7"/>
      <c r="F163" s="8"/>
      <c r="G163" s="8"/>
    </row>
    <row r="164" ht="12.75" customHeight="1">
      <c r="A164" s="8"/>
      <c r="B164" s="8"/>
      <c r="C164" s="7"/>
      <c r="D164" s="7"/>
      <c r="E164" s="7"/>
      <c r="F164" s="8"/>
      <c r="G164" s="8"/>
    </row>
    <row r="165" ht="12.75" customHeight="1">
      <c r="A165" s="8"/>
      <c r="B165" s="8"/>
      <c r="C165" s="7"/>
      <c r="D165" s="7"/>
      <c r="E165" s="7"/>
      <c r="F165" s="8"/>
      <c r="G165" s="8"/>
    </row>
    <row r="166" ht="12.75" customHeight="1">
      <c r="A166" s="8"/>
      <c r="B166" s="8"/>
      <c r="C166" s="7"/>
      <c r="D166" s="7"/>
      <c r="E166" s="7"/>
      <c r="F166" s="8"/>
      <c r="G166" s="8"/>
    </row>
    <row r="167" ht="12.75" customHeight="1">
      <c r="A167" s="8"/>
      <c r="B167" s="8"/>
      <c r="C167" s="7"/>
      <c r="D167" s="7"/>
      <c r="E167" s="7"/>
      <c r="F167" s="8"/>
      <c r="G167" s="8"/>
    </row>
    <row r="168" ht="12.75" customHeight="1">
      <c r="A168" s="8"/>
      <c r="B168" s="8"/>
      <c r="C168" s="7"/>
      <c r="D168" s="7"/>
      <c r="E168" s="7"/>
      <c r="F168" s="8"/>
      <c r="G168" s="8"/>
    </row>
    <row r="169" ht="12.75" customHeight="1">
      <c r="A169" s="8"/>
      <c r="B169" s="8"/>
      <c r="C169" s="7"/>
      <c r="D169" s="7"/>
      <c r="E169" s="7"/>
      <c r="F169" s="8"/>
      <c r="G169" s="8"/>
    </row>
    <row r="170" ht="12.75" customHeight="1">
      <c r="A170" s="8"/>
      <c r="B170" s="8"/>
      <c r="C170" s="7"/>
      <c r="D170" s="7"/>
      <c r="E170" s="7"/>
      <c r="F170" s="8"/>
      <c r="G170" s="8"/>
    </row>
    <row r="171" ht="12.75" customHeight="1">
      <c r="A171" s="8"/>
      <c r="B171" s="8"/>
      <c r="C171" s="7"/>
      <c r="D171" s="7"/>
      <c r="E171" s="7"/>
      <c r="F171" s="8"/>
      <c r="G171" s="8"/>
    </row>
    <row r="172" ht="12.75" customHeight="1">
      <c r="A172" s="8"/>
      <c r="B172" s="8"/>
      <c r="C172" s="7"/>
      <c r="D172" s="7"/>
      <c r="E172" s="7"/>
      <c r="F172" s="8"/>
      <c r="G172" s="8"/>
    </row>
    <row r="173" ht="12.75" customHeight="1">
      <c r="A173" s="8"/>
      <c r="B173" s="8"/>
      <c r="C173" s="7"/>
      <c r="D173" s="7"/>
      <c r="E173" s="7"/>
      <c r="F173" s="8"/>
      <c r="G173" s="8"/>
    </row>
    <row r="174" ht="12.75" customHeight="1">
      <c r="A174" s="8"/>
      <c r="B174" s="8"/>
      <c r="C174" s="7"/>
      <c r="D174" s="7"/>
      <c r="E174" s="7"/>
      <c r="F174" s="8"/>
      <c r="G174" s="8"/>
    </row>
    <row r="175" ht="12.75" customHeight="1">
      <c r="A175" s="8"/>
      <c r="B175" s="8"/>
      <c r="C175" s="7"/>
      <c r="D175" s="7"/>
      <c r="E175" s="7"/>
      <c r="F175" s="8"/>
      <c r="G175" s="8"/>
    </row>
    <row r="176" ht="12.75" customHeight="1">
      <c r="A176" s="8"/>
      <c r="B176" s="8"/>
      <c r="C176" s="7"/>
      <c r="D176" s="7"/>
      <c r="E176" s="7"/>
      <c r="F176" s="8"/>
      <c r="G176" s="8"/>
    </row>
    <row r="177" ht="12.75" customHeight="1">
      <c r="A177" s="8"/>
      <c r="B177" s="8"/>
      <c r="C177" s="7"/>
      <c r="D177" s="7"/>
      <c r="E177" s="7"/>
      <c r="F177" s="8"/>
      <c r="G177" s="8"/>
    </row>
    <row r="178" ht="12.75" customHeight="1">
      <c r="A178" s="8"/>
      <c r="B178" s="8"/>
      <c r="C178" s="7"/>
      <c r="D178" s="7"/>
      <c r="E178" s="7"/>
      <c r="F178" s="8"/>
      <c r="G178" s="8"/>
    </row>
    <row r="179" ht="12.75" customHeight="1">
      <c r="A179" s="8"/>
      <c r="B179" s="8"/>
      <c r="C179" s="7"/>
      <c r="D179" s="7"/>
      <c r="E179" s="7"/>
      <c r="F179" s="8"/>
      <c r="G179" s="8"/>
    </row>
    <row r="180" ht="12.75" customHeight="1">
      <c r="A180" s="8"/>
      <c r="B180" s="8"/>
      <c r="C180" s="7"/>
      <c r="D180" s="7"/>
      <c r="E180" s="7"/>
      <c r="F180" s="8"/>
      <c r="G180" s="8"/>
    </row>
    <row r="181" ht="12.75" customHeight="1">
      <c r="A181" s="8"/>
      <c r="B181" s="8"/>
      <c r="C181" s="7"/>
      <c r="D181" s="7"/>
      <c r="E181" s="7"/>
      <c r="F181" s="8"/>
      <c r="G181" s="8"/>
    </row>
    <row r="182" ht="12.75" customHeight="1">
      <c r="A182" s="8"/>
      <c r="B182" s="8"/>
      <c r="C182" s="7"/>
      <c r="D182" s="7"/>
      <c r="E182" s="7"/>
      <c r="F182" s="8"/>
      <c r="G182" s="8"/>
    </row>
    <row r="183" ht="12.75" customHeight="1">
      <c r="A183" s="8"/>
      <c r="B183" s="8"/>
      <c r="C183" s="7"/>
      <c r="D183" s="7"/>
      <c r="E183" s="7"/>
      <c r="F183" s="8"/>
      <c r="G183" s="8"/>
    </row>
    <row r="184" ht="12.75" customHeight="1">
      <c r="A184" s="8"/>
      <c r="B184" s="8"/>
      <c r="C184" s="7"/>
      <c r="D184" s="7"/>
      <c r="E184" s="7"/>
      <c r="F184" s="8"/>
      <c r="G184" s="8"/>
    </row>
    <row r="185" ht="12.75" customHeight="1">
      <c r="A185" s="8"/>
      <c r="B185" s="8"/>
      <c r="C185" s="7"/>
      <c r="D185" s="7"/>
      <c r="E185" s="7"/>
      <c r="F185" s="8"/>
      <c r="G185" s="8"/>
    </row>
    <row r="186" ht="12.75" customHeight="1">
      <c r="A186" s="8"/>
      <c r="B186" s="8"/>
      <c r="C186" s="7"/>
      <c r="D186" s="7"/>
      <c r="E186" s="7"/>
      <c r="F186" s="8"/>
      <c r="G186" s="8"/>
    </row>
    <row r="187" ht="12.75" customHeight="1">
      <c r="A187" s="8"/>
      <c r="B187" s="8"/>
      <c r="C187" s="7"/>
      <c r="D187" s="7"/>
      <c r="E187" s="7"/>
      <c r="F187" s="8"/>
      <c r="G187" s="8"/>
    </row>
    <row r="188" ht="12.75" customHeight="1">
      <c r="A188" s="8"/>
      <c r="B188" s="8"/>
      <c r="C188" s="7"/>
      <c r="D188" s="7"/>
      <c r="E188" s="7"/>
      <c r="F188" s="8"/>
      <c r="G188" s="8"/>
    </row>
    <row r="189" ht="12.75" customHeight="1">
      <c r="A189" s="8"/>
      <c r="B189" s="8"/>
      <c r="C189" s="7"/>
      <c r="D189" s="7"/>
      <c r="E189" s="7"/>
      <c r="F189" s="8"/>
      <c r="G189" s="8"/>
    </row>
    <row r="190" ht="12.75" customHeight="1">
      <c r="A190" s="8"/>
      <c r="B190" s="8"/>
      <c r="C190" s="7"/>
      <c r="D190" s="7"/>
      <c r="E190" s="7"/>
      <c r="F190" s="8"/>
      <c r="G190" s="8"/>
    </row>
    <row r="191" ht="12.75" customHeight="1">
      <c r="A191" s="8"/>
      <c r="B191" s="8"/>
      <c r="C191" s="7"/>
      <c r="D191" s="7"/>
      <c r="E191" s="7"/>
      <c r="F191" s="8"/>
      <c r="G191" s="8"/>
    </row>
    <row r="192" ht="12.75" customHeight="1">
      <c r="A192" s="8"/>
      <c r="B192" s="8"/>
      <c r="C192" s="7"/>
      <c r="D192" s="7"/>
      <c r="E192" s="7"/>
      <c r="F192" s="8"/>
      <c r="G192" s="8"/>
    </row>
    <row r="193" ht="12.75" customHeight="1">
      <c r="A193" s="8"/>
      <c r="B193" s="8"/>
      <c r="C193" s="7"/>
      <c r="D193" s="7"/>
      <c r="E193" s="7"/>
      <c r="F193" s="8"/>
      <c r="G193" s="8"/>
    </row>
    <row r="194" ht="12.75" customHeight="1">
      <c r="A194" s="8"/>
      <c r="B194" s="8"/>
      <c r="C194" s="7"/>
      <c r="D194" s="7"/>
      <c r="E194" s="7"/>
      <c r="F194" s="8"/>
      <c r="G194" s="8"/>
    </row>
    <row r="195" ht="12.75" customHeight="1">
      <c r="A195" s="8"/>
      <c r="B195" s="8"/>
      <c r="C195" s="7"/>
      <c r="D195" s="7"/>
      <c r="E195" s="7"/>
      <c r="F195" s="8"/>
      <c r="G195" s="8"/>
    </row>
    <row r="196" ht="12.75" customHeight="1">
      <c r="A196" s="8"/>
      <c r="B196" s="8"/>
      <c r="C196" s="7"/>
      <c r="D196" s="7"/>
      <c r="E196" s="7"/>
      <c r="F196" s="8"/>
      <c r="G196" s="8"/>
    </row>
    <row r="197" ht="12.75" customHeight="1">
      <c r="A197" s="8"/>
      <c r="B197" s="8"/>
      <c r="C197" s="7"/>
      <c r="D197" s="7"/>
      <c r="E197" s="7"/>
      <c r="F197" s="8"/>
      <c r="G197" s="8"/>
    </row>
    <row r="198" ht="12.75" customHeight="1">
      <c r="A198" s="8"/>
      <c r="B198" s="8"/>
      <c r="C198" s="7"/>
      <c r="D198" s="7"/>
      <c r="E198" s="7"/>
      <c r="F198" s="8"/>
      <c r="G198" s="8"/>
    </row>
    <row r="199" ht="12.75" customHeight="1">
      <c r="A199" s="8"/>
      <c r="B199" s="8"/>
      <c r="C199" s="7"/>
      <c r="D199" s="7"/>
      <c r="E199" s="7"/>
      <c r="F199" s="8"/>
      <c r="G199" s="8"/>
    </row>
    <row r="200" ht="12.75" customHeight="1">
      <c r="A200" s="8"/>
      <c r="B200" s="8"/>
      <c r="C200" s="7"/>
      <c r="D200" s="7"/>
      <c r="E200" s="7"/>
      <c r="F200" s="8"/>
      <c r="G200" s="8"/>
    </row>
    <row r="201" ht="12.75" customHeight="1">
      <c r="A201" s="8"/>
      <c r="B201" s="8"/>
      <c r="C201" s="7"/>
      <c r="D201" s="7"/>
      <c r="E201" s="7"/>
      <c r="F201" s="8"/>
      <c r="G201" s="8"/>
    </row>
    <row r="202" ht="12.75" customHeight="1">
      <c r="A202" s="8"/>
      <c r="B202" s="8"/>
      <c r="C202" s="7"/>
      <c r="D202" s="7"/>
      <c r="E202" s="7"/>
      <c r="F202" s="8"/>
      <c r="G202" s="8"/>
    </row>
    <row r="203" ht="12.75" customHeight="1">
      <c r="A203" s="8"/>
      <c r="B203" s="8"/>
      <c r="C203" s="7"/>
      <c r="D203" s="7"/>
      <c r="E203" s="7"/>
      <c r="F203" s="8"/>
      <c r="G203" s="8"/>
    </row>
    <row r="204" ht="12.75" customHeight="1">
      <c r="A204" s="8"/>
      <c r="B204" s="8"/>
      <c r="C204" s="7"/>
      <c r="D204" s="7"/>
      <c r="E204" s="7"/>
      <c r="F204" s="8"/>
      <c r="G204" s="8"/>
    </row>
    <row r="205" ht="12.75" customHeight="1">
      <c r="A205" s="8"/>
      <c r="B205" s="8"/>
      <c r="C205" s="7"/>
      <c r="D205" s="7"/>
      <c r="E205" s="7"/>
      <c r="F205" s="8"/>
      <c r="G205" s="8"/>
    </row>
    <row r="206" ht="12.75" customHeight="1">
      <c r="A206" s="8"/>
      <c r="B206" s="8"/>
      <c r="C206" s="7"/>
      <c r="D206" s="7"/>
      <c r="E206" s="7"/>
      <c r="F206" s="8"/>
      <c r="G206" s="8"/>
    </row>
    <row r="207" ht="12.75" customHeight="1">
      <c r="A207" s="8"/>
      <c r="B207" s="8"/>
      <c r="C207" s="7"/>
      <c r="D207" s="7"/>
      <c r="E207" s="7"/>
      <c r="F207" s="8"/>
      <c r="G207" s="8"/>
    </row>
    <row r="208" ht="12.75" customHeight="1">
      <c r="A208" s="8"/>
      <c r="B208" s="8"/>
      <c r="C208" s="7"/>
      <c r="D208" s="7"/>
      <c r="E208" s="7"/>
      <c r="F208" s="8"/>
      <c r="G208" s="8"/>
    </row>
    <row r="209" ht="12.75" customHeight="1">
      <c r="A209" s="8"/>
      <c r="B209" s="8"/>
      <c r="C209" s="7"/>
      <c r="D209" s="7"/>
      <c r="E209" s="7"/>
      <c r="F209" s="8"/>
      <c r="G209" s="8"/>
    </row>
    <row r="210" ht="12.75" customHeight="1">
      <c r="A210" s="8"/>
      <c r="B210" s="8"/>
      <c r="C210" s="7"/>
      <c r="D210" s="7"/>
      <c r="E210" s="7"/>
      <c r="F210" s="8"/>
      <c r="G210" s="8"/>
    </row>
    <row r="211" ht="12.75" customHeight="1">
      <c r="A211" s="8"/>
      <c r="B211" s="8"/>
      <c r="C211" s="7"/>
      <c r="D211" s="7"/>
      <c r="E211" s="7"/>
      <c r="F211" s="8"/>
      <c r="G211" s="8"/>
    </row>
    <row r="212" ht="12.75" customHeight="1">
      <c r="A212" s="8"/>
      <c r="B212" s="8"/>
      <c r="C212" s="7"/>
      <c r="D212" s="7"/>
      <c r="E212" s="7"/>
      <c r="F212" s="8"/>
      <c r="G212" s="8"/>
    </row>
    <row r="213" ht="12.75" customHeight="1">
      <c r="A213" s="8"/>
      <c r="B213" s="8"/>
      <c r="C213" s="7"/>
      <c r="D213" s="7"/>
      <c r="E213" s="7"/>
      <c r="F213" s="8"/>
      <c r="G213" s="8"/>
    </row>
    <row r="214" ht="12.75" customHeight="1">
      <c r="A214" s="8"/>
      <c r="B214" s="8"/>
      <c r="C214" s="7"/>
      <c r="D214" s="7"/>
      <c r="E214" s="7"/>
      <c r="F214" s="8"/>
      <c r="G214" s="8"/>
    </row>
    <row r="215" ht="12.75" customHeight="1">
      <c r="A215" s="8"/>
      <c r="B215" s="8"/>
      <c r="C215" s="7"/>
      <c r="D215" s="7"/>
      <c r="E215" s="7"/>
      <c r="F215" s="8"/>
      <c r="G215" s="8"/>
    </row>
    <row r="216" ht="12.75" customHeight="1">
      <c r="A216" s="8"/>
      <c r="B216" s="8"/>
      <c r="C216" s="7"/>
      <c r="D216" s="7"/>
      <c r="E216" s="7"/>
      <c r="F216" s="8"/>
      <c r="G216" s="8"/>
    </row>
    <row r="217" ht="12.75" customHeight="1">
      <c r="A217" s="8"/>
      <c r="B217" s="8"/>
      <c r="C217" s="7"/>
      <c r="D217" s="7"/>
      <c r="E217" s="7"/>
      <c r="F217" s="8"/>
      <c r="G217" s="8"/>
    </row>
    <row r="218" ht="12.75" customHeight="1">
      <c r="A218" s="8"/>
      <c r="B218" s="8"/>
      <c r="C218" s="7"/>
      <c r="D218" s="7"/>
      <c r="E218" s="7"/>
      <c r="F218" s="8"/>
      <c r="G218" s="8"/>
    </row>
    <row r="219" ht="12.75" customHeight="1">
      <c r="A219" s="8"/>
      <c r="B219" s="8"/>
      <c r="C219" s="7"/>
      <c r="D219" s="7"/>
      <c r="E219" s="7"/>
      <c r="F219" s="8"/>
      <c r="G219" s="8"/>
    </row>
    <row r="220" ht="12.75" customHeight="1">
      <c r="A220" s="8"/>
      <c r="B220" s="8"/>
      <c r="C220" s="7"/>
      <c r="D220" s="7"/>
      <c r="E220" s="7"/>
      <c r="F220" s="8"/>
      <c r="G220" s="8"/>
    </row>
    <row r="221" ht="12.75" customHeight="1">
      <c r="A221" s="8"/>
      <c r="B221" s="8"/>
      <c r="C221" s="7"/>
      <c r="D221" s="7"/>
      <c r="E221" s="7"/>
      <c r="F221" s="8"/>
      <c r="G221" s="8"/>
    </row>
    <row r="222" ht="12.75" customHeight="1">
      <c r="A222" s="8"/>
      <c r="B222" s="8"/>
      <c r="C222" s="7"/>
      <c r="D222" s="7"/>
      <c r="E222" s="7"/>
      <c r="F222" s="8"/>
      <c r="G222" s="8"/>
    </row>
    <row r="223" ht="12.75" customHeight="1">
      <c r="A223" s="8"/>
      <c r="B223" s="8"/>
      <c r="C223" s="7"/>
      <c r="D223" s="7"/>
      <c r="E223" s="7"/>
      <c r="F223" s="8"/>
      <c r="G223" s="8"/>
    </row>
    <row r="224" ht="12.75" customHeight="1">
      <c r="A224" s="8"/>
      <c r="B224" s="8"/>
      <c r="C224" s="7"/>
      <c r="D224" s="7"/>
      <c r="E224" s="7"/>
      <c r="F224" s="8"/>
      <c r="G224" s="8"/>
    </row>
    <row r="225" ht="12.75" customHeight="1">
      <c r="A225" s="8"/>
      <c r="B225" s="8"/>
      <c r="C225" s="7"/>
      <c r="D225" s="7"/>
      <c r="E225" s="7"/>
      <c r="F225" s="8"/>
      <c r="G225" s="8"/>
    </row>
    <row r="226" ht="12.75" customHeight="1">
      <c r="A226" s="8"/>
      <c r="B226" s="8"/>
      <c r="C226" s="7"/>
      <c r="D226" s="7"/>
      <c r="E226" s="7"/>
      <c r="F226" s="8"/>
      <c r="G226" s="8"/>
    </row>
    <row r="227" ht="12.75" customHeight="1">
      <c r="A227" s="8"/>
      <c r="B227" s="8"/>
      <c r="C227" s="7"/>
      <c r="D227" s="7"/>
      <c r="E227" s="7"/>
      <c r="F227" s="8"/>
      <c r="G227" s="8"/>
    </row>
    <row r="228" ht="12.75" customHeight="1">
      <c r="A228" s="8"/>
      <c r="B228" s="8"/>
      <c r="C228" s="7"/>
      <c r="D228" s="7"/>
      <c r="E228" s="7"/>
      <c r="F228" s="8"/>
      <c r="G228" s="8"/>
    </row>
    <row r="229" ht="12.75" customHeight="1">
      <c r="A229" s="8"/>
      <c r="B229" s="8"/>
      <c r="C229" s="7"/>
      <c r="D229" s="7"/>
      <c r="E229" s="7"/>
      <c r="F229" s="8"/>
      <c r="G229" s="8"/>
    </row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F2:F100">
    <cfRule type="containsText" dxfId="0" priority="1" operator="containsText" text="high">
      <formula>NOT(ISERROR(SEARCH(("high"),(F2))))</formula>
    </cfRule>
  </conditionalFormatting>
  <conditionalFormatting sqref="F2:F100">
    <cfRule type="containsText" dxfId="1" priority="2" operator="containsText" text="medium">
      <formula>NOT(ISERROR(SEARCH(("medium"),(F2))))</formula>
    </cfRule>
  </conditionalFormatting>
  <conditionalFormatting sqref="F2:F100">
    <cfRule type="containsText" dxfId="2" priority="3" operator="containsText" text="low">
      <formula>NOT(ISERROR(SEARCH(("low"),(F2))))</formula>
    </cfRule>
  </conditionalFormatting>
  <conditionalFormatting sqref="G2:G100">
    <cfRule type="containsText" dxfId="3" priority="4" operator="containsText" text="Done">
      <formula>NOT(ISERROR(SEARCH(("Done"),(G2))))</formula>
    </cfRule>
  </conditionalFormatting>
  <conditionalFormatting sqref="G2:G100">
    <cfRule type="containsText" dxfId="4" priority="5" operator="containsText" text="In Progress">
      <formula>NOT(ISERROR(SEARCH(("In Progress"),(G2))))</formula>
    </cfRule>
  </conditionalFormatting>
  <conditionalFormatting sqref="G2:G100">
    <cfRule type="containsText" dxfId="5" priority="6" operator="containsText" text="To Do">
      <formula>NOT(ISERROR(SEARCH(("To Do"),(G2))))</formula>
    </cfRule>
  </conditionalFormatting>
  <conditionalFormatting sqref="G2:G100">
    <cfRule type="containsText" dxfId="2" priority="7" operator="containsText" text="Done">
      <formula>NOT(ISERROR(SEARCH(("Done"),(G2))))</formula>
    </cfRule>
  </conditionalFormatting>
  <conditionalFormatting sqref="G2:G100">
    <cfRule type="containsText" dxfId="1" priority="8" operator="containsText" text="Working">
      <formula>NOT(ISERROR(SEARCH(("Working"),(G2))))</formula>
    </cfRule>
  </conditionalFormatting>
  <conditionalFormatting sqref="G2:G100">
    <cfRule type="containsText" dxfId="0" priority="9" operator="containsText" text="Blocked">
      <formula>NOT(ISERROR(SEARCH(("Blocked"),(G2))))</formula>
    </cfRule>
  </conditionalFormatting>
  <dataValidations>
    <dataValidation type="list" allowBlank="1" showErrorMessage="1" sqref="G2:G100">
      <formula1>"To Do,In Progress,Done"</formula1>
    </dataValidation>
    <dataValidation type="list" allowBlank="1" showErrorMessage="1" sqref="F2:F100">
      <formula1>"1-high,2-medium,3-low"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25"/>
    <col customWidth="1" min="3" max="9" width="12.75"/>
    <col customWidth="1" min="10" max="10" width="12.38"/>
    <col customWidth="1" min="11" max="11" width="13.38"/>
    <col customWidth="1" min="12" max="12" width="16.75"/>
    <col customWidth="1" min="13" max="13" width="12.38"/>
    <col customWidth="1" min="14" max="14" width="13.38"/>
    <col customWidth="1" min="15" max="15" width="16.75"/>
    <col customWidth="1" min="16" max="17" width="12.75"/>
    <col customWidth="1" min="18" max="18" width="20.0"/>
    <col customWidth="1" min="19" max="19" width="19.38"/>
    <col customWidth="1" min="20" max="20" width="20.13"/>
    <col customWidth="1" min="21" max="21" width="17.13"/>
  </cols>
  <sheetData>
    <row r="1" ht="15.75" customHeight="1">
      <c r="A1" s="3" t="s">
        <v>15</v>
      </c>
      <c r="B1" s="13" t="s">
        <v>137</v>
      </c>
      <c r="C1" s="13" t="s">
        <v>138</v>
      </c>
      <c r="D1" s="13" t="s">
        <v>139</v>
      </c>
      <c r="E1" s="13" t="s">
        <v>140</v>
      </c>
      <c r="F1" s="13" t="s">
        <v>20</v>
      </c>
      <c r="G1" s="1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  <c r="U1" s="3" t="s">
        <v>146</v>
      </c>
    </row>
    <row r="2" ht="15.75" customHeight="1">
      <c r="A2" s="3" t="s">
        <v>21</v>
      </c>
      <c r="B2" s="3" t="s">
        <v>147</v>
      </c>
      <c r="C2" s="9">
        <v>2.0</v>
      </c>
      <c r="D2" s="3">
        <v>2.0</v>
      </c>
      <c r="E2" s="3" t="s">
        <v>5</v>
      </c>
      <c r="F2" s="3" t="s">
        <v>26</v>
      </c>
      <c r="G2" s="14">
        <v>46072.0</v>
      </c>
      <c r="H2" s="15"/>
      <c r="I2" s="16" t="s">
        <v>148</v>
      </c>
      <c r="J2" s="16">
        <v>1.0</v>
      </c>
      <c r="L2" s="17" t="s">
        <v>140</v>
      </c>
      <c r="M2" s="17" t="s">
        <v>149</v>
      </c>
      <c r="N2" s="17" t="s">
        <v>150</v>
      </c>
      <c r="O2" s="17" t="s">
        <v>151</v>
      </c>
      <c r="Q2" s="14">
        <f>J3</f>
        <v>46072</v>
      </c>
      <c r="R2" s="9">
        <f t="shared" ref="R2:R100" si="1">SUMIFS($C$2:$C$100,$G$2:$G$100,Q2,$F$2:$F$100,"Done")</f>
        <v>2</v>
      </c>
      <c r="S2" s="9">
        <f>R2</f>
        <v>2</v>
      </c>
      <c r="T2" s="18">
        <f t="shared" ref="T2:T100" si="2">IF(AND(ISNUMBER(Q2),Q2&lt;=TODAY()),$M$10-S2,"")</f>
        <v>37</v>
      </c>
      <c r="U2" s="9">
        <f>$M$10</f>
        <v>39</v>
      </c>
    </row>
    <row r="3" ht="15.75" customHeight="1">
      <c r="A3" s="9" t="s">
        <v>53</v>
      </c>
      <c r="B3" s="9" t="s">
        <v>152</v>
      </c>
      <c r="C3" s="9">
        <v>3.0</v>
      </c>
      <c r="D3" s="9">
        <v>2.0</v>
      </c>
      <c r="E3" s="3" t="s">
        <v>5</v>
      </c>
      <c r="F3" s="3" t="s">
        <v>26</v>
      </c>
      <c r="G3" s="14">
        <v>46074.0</v>
      </c>
      <c r="H3" s="3"/>
      <c r="I3" s="16" t="s">
        <v>153</v>
      </c>
      <c r="J3" s="19">
        <v>46072.0</v>
      </c>
      <c r="L3" s="17" t="str">
        <f>'Team Members'!A2</f>
        <v>Abdullah Waleed bin Maneea</v>
      </c>
      <c r="M3" s="17">
        <f t="shared" ref="M3:M6" si="3">SUMIF($E$2:$E$100,L3,$C$2:$C$100)</f>
        <v>13</v>
      </c>
      <c r="N3" s="20">
        <f t="shared" ref="N3:N6" si="4">SUMIFS($C$2:$C$100, $E$2:$E$100,L3,$F$2:$F$100,"Done" )</f>
        <v>13</v>
      </c>
      <c r="O3" s="21">
        <f t="shared" ref="O3:O6" si="5">IFERROR(N3/M3, 0)</f>
        <v>1</v>
      </c>
      <c r="Q3" s="14">
        <f t="shared" ref="Q3:Q100" si="6">IF(ISNUMBER(Q2),IF(Q2-$J$3&lt;$J$4,Q2+1,""),"")</f>
        <v>46073</v>
      </c>
      <c r="R3" s="9">
        <f t="shared" si="1"/>
        <v>0</v>
      </c>
      <c r="S3" s="9">
        <f t="shared" ref="S3:S100" si="7">SUM($R$2:R3)</f>
        <v>2</v>
      </c>
      <c r="T3" s="18">
        <f t="shared" si="2"/>
        <v>37</v>
      </c>
      <c r="U3" s="22">
        <f t="shared" ref="U3:U100" si="8">IF(ISNUMBER(Q3),MAX(U2-$J$5,0),"")</f>
        <v>36.21428571</v>
      </c>
    </row>
    <row r="4" ht="15.75" customHeight="1">
      <c r="A4" s="9" t="s">
        <v>27</v>
      </c>
      <c r="B4" s="9" t="s">
        <v>154</v>
      </c>
      <c r="C4" s="9">
        <v>4.0</v>
      </c>
      <c r="D4" s="9">
        <v>3.0</v>
      </c>
      <c r="E4" s="3" t="s">
        <v>5</v>
      </c>
      <c r="F4" s="3" t="s">
        <v>26</v>
      </c>
      <c r="G4" s="14">
        <v>46075.0</v>
      </c>
      <c r="H4" s="3"/>
      <c r="I4" s="16" t="s">
        <v>155</v>
      </c>
      <c r="J4" s="16">
        <v>14.0</v>
      </c>
      <c r="L4" s="17" t="str">
        <f>'Team Members'!A3</f>
        <v>Abdullah Yousef aldhayan</v>
      </c>
      <c r="M4" s="17">
        <f t="shared" si="3"/>
        <v>9</v>
      </c>
      <c r="N4" s="20">
        <f t="shared" si="4"/>
        <v>9</v>
      </c>
      <c r="O4" s="21">
        <f t="shared" si="5"/>
        <v>1</v>
      </c>
      <c r="Q4" s="14">
        <f t="shared" si="6"/>
        <v>46074</v>
      </c>
      <c r="R4" s="9">
        <f t="shared" si="1"/>
        <v>3</v>
      </c>
      <c r="S4" s="9">
        <f t="shared" si="7"/>
        <v>5</v>
      </c>
      <c r="T4" s="18">
        <f t="shared" si="2"/>
        <v>34</v>
      </c>
      <c r="U4" s="22">
        <f t="shared" si="8"/>
        <v>33.42857143</v>
      </c>
    </row>
    <row r="5" ht="15.75" customHeight="1">
      <c r="A5" s="9" t="s">
        <v>49</v>
      </c>
      <c r="B5" s="9" t="s">
        <v>156</v>
      </c>
      <c r="C5" s="9">
        <v>3.0</v>
      </c>
      <c r="D5" s="9">
        <v>3.0</v>
      </c>
      <c r="E5" s="3" t="s">
        <v>3</v>
      </c>
      <c r="F5" s="3" t="s">
        <v>26</v>
      </c>
      <c r="G5" s="14">
        <v>46077.0</v>
      </c>
      <c r="H5" s="3"/>
      <c r="I5" s="16" t="s">
        <v>157</v>
      </c>
      <c r="J5" s="23">
        <f>SUM($C$2:$C$100)/$J$4</f>
        <v>2.785714286</v>
      </c>
      <c r="L5" s="17" t="str">
        <f>'Team Members'!A4</f>
        <v>Abdullah Ibrahim aloud</v>
      </c>
      <c r="M5" s="17">
        <f t="shared" si="3"/>
        <v>11</v>
      </c>
      <c r="N5" s="20">
        <f t="shared" si="4"/>
        <v>11</v>
      </c>
      <c r="O5" s="21">
        <f t="shared" si="5"/>
        <v>1</v>
      </c>
      <c r="Q5" s="14">
        <f t="shared" si="6"/>
        <v>46075</v>
      </c>
      <c r="R5" s="9">
        <f t="shared" si="1"/>
        <v>4</v>
      </c>
      <c r="S5" s="9">
        <f t="shared" si="7"/>
        <v>9</v>
      </c>
      <c r="T5" s="18">
        <f t="shared" si="2"/>
        <v>30</v>
      </c>
      <c r="U5" s="22">
        <f t="shared" si="8"/>
        <v>30.64285714</v>
      </c>
    </row>
    <row r="6" ht="15.75" customHeight="1">
      <c r="A6" s="9" t="s">
        <v>32</v>
      </c>
      <c r="B6" s="9" t="s">
        <v>158</v>
      </c>
      <c r="C6" s="9">
        <v>6.0</v>
      </c>
      <c r="D6" s="9">
        <v>8.0</v>
      </c>
      <c r="E6" s="3" t="s">
        <v>3</v>
      </c>
      <c r="F6" s="3" t="s">
        <v>26</v>
      </c>
      <c r="G6" s="14">
        <v>46078.0</v>
      </c>
      <c r="H6" s="3"/>
      <c r="L6" s="17" t="str">
        <f>'Team Members'!A5</f>
        <v>Fahad Ali alghubayshi</v>
      </c>
      <c r="M6" s="17">
        <f t="shared" si="3"/>
        <v>6</v>
      </c>
      <c r="N6" s="20">
        <f t="shared" si="4"/>
        <v>6</v>
      </c>
      <c r="O6" s="21">
        <f t="shared" si="5"/>
        <v>1</v>
      </c>
      <c r="Q6" s="14">
        <f t="shared" si="6"/>
        <v>46076</v>
      </c>
      <c r="R6" s="9">
        <f t="shared" si="1"/>
        <v>0</v>
      </c>
      <c r="S6" s="9">
        <f t="shared" si="7"/>
        <v>9</v>
      </c>
      <c r="T6" s="18">
        <f t="shared" si="2"/>
        <v>30</v>
      </c>
      <c r="U6" s="22">
        <f t="shared" si="8"/>
        <v>27.85714286</v>
      </c>
    </row>
    <row r="7" ht="15.75" customHeight="1">
      <c r="A7" s="9" t="s">
        <v>37</v>
      </c>
      <c r="B7" s="9" t="s">
        <v>159</v>
      </c>
      <c r="C7" s="9">
        <v>6.0</v>
      </c>
      <c r="D7" s="9">
        <v>6.0</v>
      </c>
      <c r="E7" s="3" t="s">
        <v>9</v>
      </c>
      <c r="F7" s="3" t="s">
        <v>26</v>
      </c>
      <c r="G7" s="14">
        <v>46080.0</v>
      </c>
      <c r="H7" s="3"/>
      <c r="L7" s="17"/>
      <c r="M7" s="17"/>
      <c r="N7" s="20"/>
      <c r="O7" s="21"/>
      <c r="Q7" s="14">
        <f t="shared" si="6"/>
        <v>46077</v>
      </c>
      <c r="R7" s="9">
        <f t="shared" si="1"/>
        <v>3</v>
      </c>
      <c r="S7" s="9">
        <f t="shared" si="7"/>
        <v>12</v>
      </c>
      <c r="T7" s="18">
        <f t="shared" si="2"/>
        <v>27</v>
      </c>
      <c r="U7" s="22">
        <f t="shared" si="8"/>
        <v>25.07142857</v>
      </c>
    </row>
    <row r="8" ht="15.75" customHeight="1">
      <c r="A8" s="9" t="s">
        <v>41</v>
      </c>
      <c r="B8" s="9" t="s">
        <v>160</v>
      </c>
      <c r="C8" s="9">
        <v>4.0</v>
      </c>
      <c r="D8" s="9">
        <v>4.0</v>
      </c>
      <c r="E8" s="3" t="s">
        <v>3</v>
      </c>
      <c r="F8" s="3" t="s">
        <v>26</v>
      </c>
      <c r="G8" s="14">
        <v>46082.0</v>
      </c>
      <c r="H8" s="3"/>
      <c r="L8" s="17"/>
      <c r="M8" s="17"/>
      <c r="N8" s="20"/>
      <c r="O8" s="21"/>
      <c r="Q8" s="14">
        <f t="shared" si="6"/>
        <v>46078</v>
      </c>
      <c r="R8" s="9">
        <f t="shared" si="1"/>
        <v>6</v>
      </c>
      <c r="S8" s="9">
        <f t="shared" si="7"/>
        <v>18</v>
      </c>
      <c r="T8" s="18">
        <f t="shared" si="2"/>
        <v>21</v>
      </c>
      <c r="U8" s="22">
        <f t="shared" si="8"/>
        <v>22.28571429</v>
      </c>
    </row>
    <row r="9" ht="15.75" customHeight="1">
      <c r="A9" s="9" t="s">
        <v>45</v>
      </c>
      <c r="B9" s="9" t="s">
        <v>161</v>
      </c>
      <c r="C9" s="3">
        <v>6.0</v>
      </c>
      <c r="D9" s="3">
        <v>7.0</v>
      </c>
      <c r="E9" s="3" t="s">
        <v>7</v>
      </c>
      <c r="F9" s="3" t="s">
        <v>26</v>
      </c>
      <c r="G9" s="14">
        <v>46083.0</v>
      </c>
      <c r="M9" s="17"/>
      <c r="Q9" s="14">
        <f t="shared" si="6"/>
        <v>46079</v>
      </c>
      <c r="R9" s="9">
        <f t="shared" si="1"/>
        <v>0</v>
      </c>
      <c r="S9" s="9">
        <f t="shared" si="7"/>
        <v>18</v>
      </c>
      <c r="T9" s="18">
        <f t="shared" si="2"/>
        <v>21</v>
      </c>
      <c r="U9" s="22">
        <f t="shared" si="8"/>
        <v>19.5</v>
      </c>
    </row>
    <row r="10" ht="15.75" customHeight="1">
      <c r="A10" s="3" t="s">
        <v>32</v>
      </c>
      <c r="B10" s="3" t="s">
        <v>162</v>
      </c>
      <c r="C10" s="3">
        <v>5.0</v>
      </c>
      <c r="D10" s="3">
        <v>5.0</v>
      </c>
      <c r="E10" s="3" t="s">
        <v>7</v>
      </c>
      <c r="F10" s="3" t="s">
        <v>26</v>
      </c>
      <c r="G10" s="14">
        <v>46085.0</v>
      </c>
      <c r="H10" s="15"/>
      <c r="L10" s="24" t="s">
        <v>163</v>
      </c>
      <c r="M10" s="25">
        <f t="shared" ref="M10:N10" si="9">SUM(M3:M6)</f>
        <v>39</v>
      </c>
      <c r="N10" s="25">
        <f t="shared" si="9"/>
        <v>39</v>
      </c>
      <c r="O10" s="26">
        <f>IFERROR(N10/M10, 0)</f>
        <v>1</v>
      </c>
      <c r="Q10" s="14">
        <f t="shared" si="6"/>
        <v>46080</v>
      </c>
      <c r="R10" s="9">
        <f t="shared" si="1"/>
        <v>6</v>
      </c>
      <c r="S10" s="9">
        <f t="shared" si="7"/>
        <v>24</v>
      </c>
      <c r="T10" s="18">
        <f t="shared" si="2"/>
        <v>15</v>
      </c>
      <c r="U10" s="22">
        <f t="shared" si="8"/>
        <v>16.71428571</v>
      </c>
    </row>
    <row r="11" ht="15.75" customHeight="1">
      <c r="A11" s="3"/>
      <c r="B11" s="3"/>
      <c r="C11" s="3"/>
      <c r="D11" s="3"/>
      <c r="E11" s="3"/>
      <c r="F11" s="3"/>
      <c r="G11" s="4"/>
      <c r="Q11" s="14">
        <f t="shared" si="6"/>
        <v>46081</v>
      </c>
      <c r="R11" s="9">
        <f t="shared" si="1"/>
        <v>0</v>
      </c>
      <c r="S11" s="9">
        <f t="shared" si="7"/>
        <v>24</v>
      </c>
      <c r="T11" s="18">
        <f t="shared" si="2"/>
        <v>15</v>
      </c>
      <c r="U11" s="22">
        <f t="shared" si="8"/>
        <v>13.92857143</v>
      </c>
    </row>
    <row r="12" ht="15.75" customHeight="1">
      <c r="C12" s="3"/>
      <c r="D12" s="3"/>
      <c r="E12" s="3"/>
      <c r="F12" s="3"/>
      <c r="G12" s="4"/>
      <c r="Q12" s="14">
        <f t="shared" si="6"/>
        <v>46082</v>
      </c>
      <c r="R12" s="9">
        <f t="shared" si="1"/>
        <v>4</v>
      </c>
      <c r="S12" s="9">
        <f t="shared" si="7"/>
        <v>28</v>
      </c>
      <c r="T12" s="18">
        <f t="shared" si="2"/>
        <v>11</v>
      </c>
      <c r="U12" s="22">
        <f t="shared" si="8"/>
        <v>11.14285714</v>
      </c>
    </row>
    <row r="13" ht="15.75" customHeight="1">
      <c r="C13" s="3"/>
      <c r="D13" s="3"/>
      <c r="E13" s="3"/>
      <c r="F13" s="3"/>
      <c r="G13" s="4"/>
      <c r="Q13" s="14">
        <f t="shared" si="6"/>
        <v>46083</v>
      </c>
      <c r="R13" s="9">
        <f t="shared" si="1"/>
        <v>6</v>
      </c>
      <c r="S13" s="9">
        <f t="shared" si="7"/>
        <v>34</v>
      </c>
      <c r="T13" s="18">
        <f t="shared" si="2"/>
        <v>5</v>
      </c>
      <c r="U13" s="22">
        <f t="shared" si="8"/>
        <v>8.357142857</v>
      </c>
    </row>
    <row r="14" ht="15.75" customHeight="1">
      <c r="C14" s="3"/>
      <c r="D14" s="3"/>
      <c r="E14" s="3"/>
      <c r="F14" s="3"/>
      <c r="G14" s="4"/>
      <c r="Q14" s="14">
        <f t="shared" si="6"/>
        <v>46084</v>
      </c>
      <c r="R14" s="9">
        <f t="shared" si="1"/>
        <v>0</v>
      </c>
      <c r="S14" s="9">
        <f t="shared" si="7"/>
        <v>34</v>
      </c>
      <c r="T14" s="18">
        <f t="shared" si="2"/>
        <v>5</v>
      </c>
      <c r="U14" s="22">
        <f t="shared" si="8"/>
        <v>5.571428571</v>
      </c>
    </row>
    <row r="15" ht="15.75" customHeight="1">
      <c r="C15" s="3"/>
      <c r="D15" s="3"/>
      <c r="E15" s="3"/>
      <c r="F15" s="3"/>
      <c r="G15" s="4"/>
      <c r="Q15" s="14">
        <f t="shared" si="6"/>
        <v>46085</v>
      </c>
      <c r="R15" s="9">
        <f t="shared" si="1"/>
        <v>5</v>
      </c>
      <c r="S15" s="9">
        <f t="shared" si="7"/>
        <v>39</v>
      </c>
      <c r="T15" s="18">
        <f t="shared" si="2"/>
        <v>0</v>
      </c>
      <c r="U15" s="22">
        <f t="shared" si="8"/>
        <v>2.785714286</v>
      </c>
    </row>
    <row r="16" ht="15.75" customHeight="1">
      <c r="C16" s="3"/>
      <c r="D16" s="3"/>
      <c r="E16" s="3"/>
      <c r="F16" s="3"/>
      <c r="G16" s="4"/>
      <c r="Q16" s="14">
        <f t="shared" si="6"/>
        <v>46086</v>
      </c>
      <c r="R16" s="9">
        <f t="shared" si="1"/>
        <v>0</v>
      </c>
      <c r="S16" s="9">
        <f t="shared" si="7"/>
        <v>39</v>
      </c>
      <c r="T16" s="18">
        <f t="shared" si="2"/>
        <v>0</v>
      </c>
      <c r="U16" s="22">
        <f t="shared" si="8"/>
        <v>0</v>
      </c>
    </row>
    <row r="17" ht="15.75" customHeight="1">
      <c r="C17" s="3"/>
      <c r="D17" s="3"/>
      <c r="E17" s="3"/>
      <c r="F17" s="3"/>
      <c r="G17" s="4"/>
      <c r="Q17" s="27" t="str">
        <f t="shared" si="6"/>
        <v/>
      </c>
      <c r="R17" s="9">
        <f t="shared" si="1"/>
        <v>0</v>
      </c>
      <c r="S17" s="9">
        <f t="shared" si="7"/>
        <v>39</v>
      </c>
      <c r="T17" s="18" t="str">
        <f t="shared" si="2"/>
        <v/>
      </c>
      <c r="U17" s="22" t="str">
        <f t="shared" si="8"/>
        <v/>
      </c>
    </row>
    <row r="18" ht="15.75" customHeight="1">
      <c r="C18" s="3"/>
      <c r="D18" s="3"/>
      <c r="E18" s="3"/>
      <c r="F18" s="3"/>
      <c r="G18" s="4"/>
      <c r="Q18" s="27" t="str">
        <f t="shared" si="6"/>
        <v/>
      </c>
      <c r="R18" s="9">
        <f t="shared" si="1"/>
        <v>0</v>
      </c>
      <c r="S18" s="9">
        <f t="shared" si="7"/>
        <v>39</v>
      </c>
      <c r="T18" s="18" t="str">
        <f t="shared" si="2"/>
        <v/>
      </c>
      <c r="U18" s="22" t="str">
        <f t="shared" si="8"/>
        <v/>
      </c>
    </row>
    <row r="19" ht="15.75" customHeight="1">
      <c r="C19" s="3"/>
      <c r="D19" s="3"/>
      <c r="E19" s="3"/>
      <c r="F19" s="3"/>
      <c r="G19" s="4"/>
      <c r="Q19" s="27" t="str">
        <f t="shared" si="6"/>
        <v/>
      </c>
      <c r="R19" s="9">
        <f t="shared" si="1"/>
        <v>0</v>
      </c>
      <c r="S19" s="9">
        <f t="shared" si="7"/>
        <v>39</v>
      </c>
      <c r="T19" s="18" t="str">
        <f t="shared" si="2"/>
        <v/>
      </c>
      <c r="U19" s="22" t="str">
        <f t="shared" si="8"/>
        <v/>
      </c>
    </row>
    <row r="20" ht="15.75" customHeight="1">
      <c r="C20" s="3"/>
      <c r="D20" s="3"/>
      <c r="E20" s="3"/>
      <c r="F20" s="3"/>
      <c r="G20" s="4"/>
      <c r="Q20" s="27" t="str">
        <f t="shared" si="6"/>
        <v/>
      </c>
      <c r="R20" s="9">
        <f t="shared" si="1"/>
        <v>0</v>
      </c>
      <c r="S20" s="9">
        <f t="shared" si="7"/>
        <v>39</v>
      </c>
      <c r="T20" s="18" t="str">
        <f t="shared" si="2"/>
        <v/>
      </c>
      <c r="U20" s="22" t="str">
        <f t="shared" si="8"/>
        <v/>
      </c>
    </row>
    <row r="21" ht="15.75" customHeight="1">
      <c r="C21" s="3"/>
      <c r="D21" s="3"/>
      <c r="E21" s="3"/>
      <c r="F21" s="3"/>
      <c r="G21" s="4"/>
      <c r="Q21" s="27" t="str">
        <f t="shared" si="6"/>
        <v/>
      </c>
      <c r="R21" s="9">
        <f t="shared" si="1"/>
        <v>0</v>
      </c>
      <c r="S21" s="9">
        <f t="shared" si="7"/>
        <v>39</v>
      </c>
      <c r="T21" s="18" t="str">
        <f t="shared" si="2"/>
        <v/>
      </c>
      <c r="U21" s="22" t="str">
        <f t="shared" si="8"/>
        <v/>
      </c>
    </row>
    <row r="22" ht="15.75" customHeight="1">
      <c r="C22" s="3"/>
      <c r="D22" s="3"/>
      <c r="E22" s="3"/>
      <c r="F22" s="3"/>
      <c r="G22" s="4"/>
      <c r="Q22" s="27" t="str">
        <f t="shared" si="6"/>
        <v/>
      </c>
      <c r="R22" s="9">
        <f t="shared" si="1"/>
        <v>0</v>
      </c>
      <c r="S22" s="9">
        <f t="shared" si="7"/>
        <v>39</v>
      </c>
      <c r="T22" s="18" t="str">
        <f t="shared" si="2"/>
        <v/>
      </c>
      <c r="U22" s="22" t="str">
        <f t="shared" si="8"/>
        <v/>
      </c>
    </row>
    <row r="23" ht="15.75" customHeight="1">
      <c r="C23" s="3"/>
      <c r="D23" s="3"/>
      <c r="E23" s="3"/>
      <c r="F23" s="3"/>
      <c r="G23" s="4"/>
      <c r="Q23" s="27" t="str">
        <f t="shared" si="6"/>
        <v/>
      </c>
      <c r="R23" s="9">
        <f t="shared" si="1"/>
        <v>0</v>
      </c>
      <c r="S23" s="9">
        <f t="shared" si="7"/>
        <v>39</v>
      </c>
      <c r="T23" s="18" t="str">
        <f t="shared" si="2"/>
        <v/>
      </c>
      <c r="U23" s="22" t="str">
        <f t="shared" si="8"/>
        <v/>
      </c>
    </row>
    <row r="24" ht="15.75" customHeight="1">
      <c r="C24" s="3"/>
      <c r="D24" s="3"/>
      <c r="E24" s="3"/>
      <c r="F24" s="3"/>
      <c r="G24" s="4"/>
      <c r="Q24" s="27" t="str">
        <f t="shared" si="6"/>
        <v/>
      </c>
      <c r="R24" s="9">
        <f t="shared" si="1"/>
        <v>0</v>
      </c>
      <c r="S24" s="9">
        <f t="shared" si="7"/>
        <v>39</v>
      </c>
      <c r="T24" s="18" t="str">
        <f t="shared" si="2"/>
        <v/>
      </c>
      <c r="U24" s="22" t="str">
        <f t="shared" si="8"/>
        <v/>
      </c>
    </row>
    <row r="25" ht="15.75" customHeight="1">
      <c r="C25" s="3"/>
      <c r="D25" s="3"/>
      <c r="E25" s="3"/>
      <c r="F25" s="3"/>
      <c r="G25" s="4"/>
      <c r="Q25" s="27" t="str">
        <f t="shared" si="6"/>
        <v/>
      </c>
      <c r="R25" s="9">
        <f t="shared" si="1"/>
        <v>0</v>
      </c>
      <c r="S25" s="9">
        <f t="shared" si="7"/>
        <v>39</v>
      </c>
      <c r="T25" s="18" t="str">
        <f t="shared" si="2"/>
        <v/>
      </c>
      <c r="U25" s="22" t="str">
        <f t="shared" si="8"/>
        <v/>
      </c>
    </row>
    <row r="26" ht="15.75" customHeight="1">
      <c r="C26" s="3"/>
      <c r="D26" s="3"/>
      <c r="E26" s="3"/>
      <c r="F26" s="3"/>
      <c r="G26" s="4"/>
      <c r="Q26" s="27" t="str">
        <f t="shared" si="6"/>
        <v/>
      </c>
      <c r="R26" s="9">
        <f t="shared" si="1"/>
        <v>0</v>
      </c>
      <c r="S26" s="9">
        <f t="shared" si="7"/>
        <v>39</v>
      </c>
      <c r="T26" s="18" t="str">
        <f t="shared" si="2"/>
        <v/>
      </c>
      <c r="U26" s="22" t="str">
        <f t="shared" si="8"/>
        <v/>
      </c>
    </row>
    <row r="27" ht="15.75" customHeight="1">
      <c r="C27" s="3"/>
      <c r="D27" s="3"/>
      <c r="E27" s="3"/>
      <c r="F27" s="3"/>
      <c r="G27" s="4"/>
      <c r="Q27" s="27" t="str">
        <f t="shared" si="6"/>
        <v/>
      </c>
      <c r="R27" s="9">
        <f t="shared" si="1"/>
        <v>0</v>
      </c>
      <c r="S27" s="9">
        <f t="shared" si="7"/>
        <v>39</v>
      </c>
      <c r="T27" s="18" t="str">
        <f t="shared" si="2"/>
        <v/>
      </c>
      <c r="U27" s="22" t="str">
        <f t="shared" si="8"/>
        <v/>
      </c>
    </row>
    <row r="28" ht="15.75" customHeight="1">
      <c r="C28" s="3"/>
      <c r="D28" s="3"/>
      <c r="E28" s="3"/>
      <c r="F28" s="3"/>
      <c r="G28" s="4"/>
      <c r="Q28" s="27" t="str">
        <f t="shared" si="6"/>
        <v/>
      </c>
      <c r="R28" s="9">
        <f t="shared" si="1"/>
        <v>0</v>
      </c>
      <c r="S28" s="9">
        <f t="shared" si="7"/>
        <v>39</v>
      </c>
      <c r="T28" s="18" t="str">
        <f t="shared" si="2"/>
        <v/>
      </c>
      <c r="U28" s="22" t="str">
        <f t="shared" si="8"/>
        <v/>
      </c>
    </row>
    <row r="29" ht="15.75" customHeight="1">
      <c r="C29" s="3"/>
      <c r="D29" s="3"/>
      <c r="E29" s="3"/>
      <c r="F29" s="3"/>
      <c r="G29" s="4"/>
      <c r="Q29" s="27" t="str">
        <f t="shared" si="6"/>
        <v/>
      </c>
      <c r="R29" s="9">
        <f t="shared" si="1"/>
        <v>0</v>
      </c>
      <c r="S29" s="9">
        <f t="shared" si="7"/>
        <v>39</v>
      </c>
      <c r="T29" s="18" t="str">
        <f t="shared" si="2"/>
        <v/>
      </c>
      <c r="U29" s="22" t="str">
        <f t="shared" si="8"/>
        <v/>
      </c>
    </row>
    <row r="30" ht="15.75" customHeight="1">
      <c r="C30" s="3"/>
      <c r="D30" s="3"/>
      <c r="E30" s="3"/>
      <c r="F30" s="3"/>
      <c r="G30" s="4"/>
      <c r="Q30" s="27" t="str">
        <f t="shared" si="6"/>
        <v/>
      </c>
      <c r="R30" s="9">
        <f t="shared" si="1"/>
        <v>0</v>
      </c>
      <c r="S30" s="9">
        <f t="shared" si="7"/>
        <v>39</v>
      </c>
      <c r="T30" s="18" t="str">
        <f t="shared" si="2"/>
        <v/>
      </c>
      <c r="U30" s="22" t="str">
        <f t="shared" si="8"/>
        <v/>
      </c>
    </row>
    <row r="31" ht="15.75" customHeight="1">
      <c r="C31" s="3"/>
      <c r="D31" s="3"/>
      <c r="E31" s="3"/>
      <c r="F31" s="3"/>
      <c r="G31" s="4"/>
      <c r="Q31" s="27" t="str">
        <f t="shared" si="6"/>
        <v/>
      </c>
      <c r="R31" s="9">
        <f t="shared" si="1"/>
        <v>0</v>
      </c>
      <c r="S31" s="9">
        <f t="shared" si="7"/>
        <v>39</v>
      </c>
      <c r="T31" s="18" t="str">
        <f t="shared" si="2"/>
        <v/>
      </c>
      <c r="U31" s="22" t="str">
        <f t="shared" si="8"/>
        <v/>
      </c>
    </row>
    <row r="32" ht="15.75" customHeight="1">
      <c r="C32" s="3"/>
      <c r="D32" s="3"/>
      <c r="E32" s="3"/>
      <c r="F32" s="3"/>
      <c r="G32" s="4"/>
      <c r="Q32" s="27" t="str">
        <f t="shared" si="6"/>
        <v/>
      </c>
      <c r="R32" s="9">
        <f t="shared" si="1"/>
        <v>0</v>
      </c>
      <c r="S32" s="9">
        <f t="shared" si="7"/>
        <v>39</v>
      </c>
      <c r="T32" s="18" t="str">
        <f t="shared" si="2"/>
        <v/>
      </c>
      <c r="U32" s="22" t="str">
        <f t="shared" si="8"/>
        <v/>
      </c>
    </row>
    <row r="33" ht="15.75" customHeight="1">
      <c r="C33" s="3"/>
      <c r="D33" s="3"/>
      <c r="E33" s="3"/>
      <c r="F33" s="3"/>
      <c r="G33" s="4"/>
      <c r="Q33" s="27" t="str">
        <f t="shared" si="6"/>
        <v/>
      </c>
      <c r="R33" s="9">
        <f t="shared" si="1"/>
        <v>0</v>
      </c>
      <c r="S33" s="9">
        <f t="shared" si="7"/>
        <v>39</v>
      </c>
      <c r="T33" s="18" t="str">
        <f t="shared" si="2"/>
        <v/>
      </c>
      <c r="U33" s="22" t="str">
        <f t="shared" si="8"/>
        <v/>
      </c>
    </row>
    <row r="34" ht="15.75" customHeight="1">
      <c r="C34" s="3"/>
      <c r="D34" s="3"/>
      <c r="E34" s="3"/>
      <c r="F34" s="3"/>
      <c r="G34" s="4"/>
      <c r="Q34" s="27" t="str">
        <f t="shared" si="6"/>
        <v/>
      </c>
      <c r="R34" s="9">
        <f t="shared" si="1"/>
        <v>0</v>
      </c>
      <c r="S34" s="9">
        <f t="shared" si="7"/>
        <v>39</v>
      </c>
      <c r="T34" s="18" t="str">
        <f t="shared" si="2"/>
        <v/>
      </c>
      <c r="U34" s="22" t="str">
        <f t="shared" si="8"/>
        <v/>
      </c>
    </row>
    <row r="35" ht="15.75" customHeight="1">
      <c r="C35" s="3"/>
      <c r="D35" s="3"/>
      <c r="E35" s="3"/>
      <c r="F35" s="3"/>
      <c r="G35" s="4"/>
      <c r="Q35" s="27" t="str">
        <f t="shared" si="6"/>
        <v/>
      </c>
      <c r="R35" s="9">
        <f t="shared" si="1"/>
        <v>0</v>
      </c>
      <c r="S35" s="9">
        <f t="shared" si="7"/>
        <v>39</v>
      </c>
      <c r="T35" s="18" t="str">
        <f t="shared" si="2"/>
        <v/>
      </c>
      <c r="U35" s="22" t="str">
        <f t="shared" si="8"/>
        <v/>
      </c>
    </row>
    <row r="36" ht="15.75" customHeight="1">
      <c r="C36" s="3"/>
      <c r="D36" s="3"/>
      <c r="E36" s="3"/>
      <c r="F36" s="3"/>
      <c r="G36" s="4"/>
      <c r="Q36" s="27" t="str">
        <f t="shared" si="6"/>
        <v/>
      </c>
      <c r="R36" s="9">
        <f t="shared" si="1"/>
        <v>0</v>
      </c>
      <c r="S36" s="9">
        <f t="shared" si="7"/>
        <v>39</v>
      </c>
      <c r="T36" s="18" t="str">
        <f t="shared" si="2"/>
        <v/>
      </c>
      <c r="U36" s="22" t="str">
        <f t="shared" si="8"/>
        <v/>
      </c>
    </row>
    <row r="37" ht="15.75" customHeight="1">
      <c r="C37" s="3"/>
      <c r="D37" s="3"/>
      <c r="E37" s="3"/>
      <c r="F37" s="3"/>
      <c r="G37" s="4"/>
      <c r="Q37" s="27" t="str">
        <f t="shared" si="6"/>
        <v/>
      </c>
      <c r="R37" s="9">
        <f t="shared" si="1"/>
        <v>0</v>
      </c>
      <c r="S37" s="9">
        <f t="shared" si="7"/>
        <v>39</v>
      </c>
      <c r="T37" s="18" t="str">
        <f t="shared" si="2"/>
        <v/>
      </c>
      <c r="U37" s="22" t="str">
        <f t="shared" si="8"/>
        <v/>
      </c>
    </row>
    <row r="38" ht="15.75" customHeight="1">
      <c r="C38" s="3"/>
      <c r="D38" s="3"/>
      <c r="E38" s="3"/>
      <c r="F38" s="3"/>
      <c r="G38" s="4"/>
      <c r="Q38" s="27" t="str">
        <f t="shared" si="6"/>
        <v/>
      </c>
      <c r="R38" s="9">
        <f t="shared" si="1"/>
        <v>0</v>
      </c>
      <c r="S38" s="9">
        <f t="shared" si="7"/>
        <v>39</v>
      </c>
      <c r="T38" s="18" t="str">
        <f t="shared" si="2"/>
        <v/>
      </c>
      <c r="U38" s="22" t="str">
        <f t="shared" si="8"/>
        <v/>
      </c>
    </row>
    <row r="39" ht="15.75" customHeight="1">
      <c r="C39" s="3"/>
      <c r="D39" s="3"/>
      <c r="E39" s="3"/>
      <c r="F39" s="3"/>
      <c r="G39" s="4"/>
      <c r="Q39" s="27" t="str">
        <f t="shared" si="6"/>
        <v/>
      </c>
      <c r="R39" s="9">
        <f t="shared" si="1"/>
        <v>0</v>
      </c>
      <c r="S39" s="9">
        <f t="shared" si="7"/>
        <v>39</v>
      </c>
      <c r="T39" s="18" t="str">
        <f t="shared" si="2"/>
        <v/>
      </c>
      <c r="U39" s="22" t="str">
        <f t="shared" si="8"/>
        <v/>
      </c>
    </row>
    <row r="40" ht="15.75" customHeight="1">
      <c r="C40" s="3"/>
      <c r="D40" s="3"/>
      <c r="E40" s="3"/>
      <c r="F40" s="3"/>
      <c r="G40" s="4"/>
      <c r="Q40" s="27" t="str">
        <f t="shared" si="6"/>
        <v/>
      </c>
      <c r="R40" s="9">
        <f t="shared" si="1"/>
        <v>0</v>
      </c>
      <c r="S40" s="9">
        <f t="shared" si="7"/>
        <v>39</v>
      </c>
      <c r="T40" s="18" t="str">
        <f t="shared" si="2"/>
        <v/>
      </c>
      <c r="U40" s="22" t="str">
        <f t="shared" si="8"/>
        <v/>
      </c>
    </row>
    <row r="41" ht="15.75" customHeight="1">
      <c r="C41" s="3"/>
      <c r="D41" s="3"/>
      <c r="E41" s="3"/>
      <c r="F41" s="3"/>
      <c r="G41" s="4"/>
      <c r="Q41" s="28" t="str">
        <f t="shared" si="6"/>
        <v/>
      </c>
      <c r="R41" s="29">
        <f t="shared" si="1"/>
        <v>0</v>
      </c>
      <c r="S41" s="29">
        <f t="shared" si="7"/>
        <v>39</v>
      </c>
      <c r="T41" s="29" t="str">
        <f t="shared" si="2"/>
        <v/>
      </c>
      <c r="U41" s="29" t="str">
        <f t="shared" si="8"/>
        <v/>
      </c>
    </row>
    <row r="42" ht="15.75" customHeight="1">
      <c r="C42" s="3"/>
      <c r="D42" s="3"/>
      <c r="E42" s="3"/>
      <c r="F42" s="3"/>
      <c r="G42" s="4"/>
      <c r="Q42" s="28" t="str">
        <f t="shared" si="6"/>
        <v/>
      </c>
      <c r="R42" s="29">
        <f t="shared" si="1"/>
        <v>0</v>
      </c>
      <c r="S42" s="29">
        <f t="shared" si="7"/>
        <v>39</v>
      </c>
      <c r="T42" s="29" t="str">
        <f t="shared" si="2"/>
        <v/>
      </c>
      <c r="U42" s="29" t="str">
        <f t="shared" si="8"/>
        <v/>
      </c>
    </row>
    <row r="43" ht="15.75" customHeight="1">
      <c r="C43" s="3"/>
      <c r="D43" s="3"/>
      <c r="E43" s="3"/>
      <c r="F43" s="3"/>
      <c r="G43" s="4"/>
      <c r="Q43" s="28" t="str">
        <f t="shared" si="6"/>
        <v/>
      </c>
      <c r="R43" s="29">
        <f t="shared" si="1"/>
        <v>0</v>
      </c>
      <c r="S43" s="29">
        <f t="shared" si="7"/>
        <v>39</v>
      </c>
      <c r="T43" s="29" t="str">
        <f t="shared" si="2"/>
        <v/>
      </c>
      <c r="U43" s="29" t="str">
        <f t="shared" si="8"/>
        <v/>
      </c>
    </row>
    <row r="44" ht="15.75" customHeight="1">
      <c r="C44" s="3"/>
      <c r="D44" s="3"/>
      <c r="E44" s="3"/>
      <c r="F44" s="3"/>
      <c r="G44" s="4"/>
      <c r="Q44" s="28" t="str">
        <f t="shared" si="6"/>
        <v/>
      </c>
      <c r="R44" s="29">
        <f t="shared" si="1"/>
        <v>0</v>
      </c>
      <c r="S44" s="29">
        <f t="shared" si="7"/>
        <v>39</v>
      </c>
      <c r="T44" s="29" t="str">
        <f t="shared" si="2"/>
        <v/>
      </c>
      <c r="U44" s="29" t="str">
        <f t="shared" si="8"/>
        <v/>
      </c>
    </row>
    <row r="45" ht="15.75" customHeight="1">
      <c r="C45" s="3"/>
      <c r="D45" s="3"/>
      <c r="E45" s="3"/>
      <c r="F45" s="3"/>
      <c r="G45" s="4"/>
      <c r="Q45" s="28" t="str">
        <f t="shared" si="6"/>
        <v/>
      </c>
      <c r="R45" s="29">
        <f t="shared" si="1"/>
        <v>0</v>
      </c>
      <c r="S45" s="29">
        <f t="shared" si="7"/>
        <v>39</v>
      </c>
      <c r="T45" s="29" t="str">
        <f t="shared" si="2"/>
        <v/>
      </c>
      <c r="U45" s="29" t="str">
        <f t="shared" si="8"/>
        <v/>
      </c>
    </row>
    <row r="46" ht="12.75" customHeight="1">
      <c r="C46" s="3"/>
      <c r="D46" s="3"/>
      <c r="E46" s="3"/>
      <c r="F46" s="3"/>
      <c r="G46" s="4"/>
      <c r="Q46" s="28" t="str">
        <f t="shared" si="6"/>
        <v/>
      </c>
      <c r="R46" s="29">
        <f t="shared" si="1"/>
        <v>0</v>
      </c>
      <c r="S46" s="29">
        <f t="shared" si="7"/>
        <v>39</v>
      </c>
      <c r="T46" s="29" t="str">
        <f t="shared" si="2"/>
        <v/>
      </c>
      <c r="U46" s="29" t="str">
        <f t="shared" si="8"/>
        <v/>
      </c>
    </row>
    <row r="47" ht="12.75" customHeight="1">
      <c r="C47" s="3"/>
      <c r="D47" s="3"/>
      <c r="E47" s="3"/>
      <c r="F47" s="3"/>
      <c r="G47" s="4"/>
      <c r="Q47" s="28" t="str">
        <f t="shared" si="6"/>
        <v/>
      </c>
      <c r="R47" s="29">
        <f t="shared" si="1"/>
        <v>0</v>
      </c>
      <c r="S47" s="29">
        <f t="shared" si="7"/>
        <v>39</v>
      </c>
      <c r="T47" s="29" t="str">
        <f t="shared" si="2"/>
        <v/>
      </c>
      <c r="U47" s="29" t="str">
        <f t="shared" si="8"/>
        <v/>
      </c>
    </row>
    <row r="48" ht="12.75" customHeight="1">
      <c r="C48" s="3"/>
      <c r="D48" s="3"/>
      <c r="E48" s="3"/>
      <c r="F48" s="3"/>
      <c r="G48" s="4"/>
      <c r="Q48" s="28" t="str">
        <f t="shared" si="6"/>
        <v/>
      </c>
      <c r="R48" s="29">
        <f t="shared" si="1"/>
        <v>0</v>
      </c>
      <c r="S48" s="29">
        <f t="shared" si="7"/>
        <v>39</v>
      </c>
      <c r="T48" s="29" t="str">
        <f t="shared" si="2"/>
        <v/>
      </c>
      <c r="U48" s="29" t="str">
        <f t="shared" si="8"/>
        <v/>
      </c>
    </row>
    <row r="49" ht="12.75" customHeight="1">
      <c r="C49" s="3"/>
      <c r="D49" s="3"/>
      <c r="E49" s="3"/>
      <c r="F49" s="3"/>
      <c r="G49" s="4"/>
      <c r="Q49" s="28" t="str">
        <f t="shared" si="6"/>
        <v/>
      </c>
      <c r="R49" s="29">
        <f t="shared" si="1"/>
        <v>0</v>
      </c>
      <c r="S49" s="29">
        <f t="shared" si="7"/>
        <v>39</v>
      </c>
      <c r="T49" s="29" t="str">
        <f t="shared" si="2"/>
        <v/>
      </c>
      <c r="U49" s="29" t="str">
        <f t="shared" si="8"/>
        <v/>
      </c>
    </row>
    <row r="50" ht="12.75" customHeight="1">
      <c r="C50" s="3"/>
      <c r="D50" s="3"/>
      <c r="E50" s="3"/>
      <c r="F50" s="3"/>
      <c r="G50" s="4"/>
      <c r="Q50" s="28" t="str">
        <f t="shared" si="6"/>
        <v/>
      </c>
      <c r="R50" s="29">
        <f t="shared" si="1"/>
        <v>0</v>
      </c>
      <c r="S50" s="29">
        <f t="shared" si="7"/>
        <v>39</v>
      </c>
      <c r="T50" s="29" t="str">
        <f t="shared" si="2"/>
        <v/>
      </c>
      <c r="U50" s="29" t="str">
        <f t="shared" si="8"/>
        <v/>
      </c>
    </row>
    <row r="51" ht="12.75" customHeight="1">
      <c r="C51" s="3"/>
      <c r="D51" s="3"/>
      <c r="E51" s="3"/>
      <c r="F51" s="3"/>
      <c r="G51" s="4"/>
      <c r="Q51" s="28" t="str">
        <f t="shared" si="6"/>
        <v/>
      </c>
      <c r="R51" s="29">
        <f t="shared" si="1"/>
        <v>0</v>
      </c>
      <c r="S51" s="29">
        <f t="shared" si="7"/>
        <v>39</v>
      </c>
      <c r="T51" s="29" t="str">
        <f t="shared" si="2"/>
        <v/>
      </c>
      <c r="U51" s="29" t="str">
        <f t="shared" si="8"/>
        <v/>
      </c>
    </row>
    <row r="52" ht="12.75" customHeight="1">
      <c r="C52" s="3"/>
      <c r="D52" s="3"/>
      <c r="E52" s="3"/>
      <c r="F52" s="3"/>
      <c r="G52" s="4"/>
      <c r="Q52" s="28" t="str">
        <f t="shared" si="6"/>
        <v/>
      </c>
      <c r="R52" s="29">
        <f t="shared" si="1"/>
        <v>0</v>
      </c>
      <c r="S52" s="29">
        <f t="shared" si="7"/>
        <v>39</v>
      </c>
      <c r="T52" s="29" t="str">
        <f t="shared" si="2"/>
        <v/>
      </c>
      <c r="U52" s="29" t="str">
        <f t="shared" si="8"/>
        <v/>
      </c>
    </row>
    <row r="53" ht="12.75" customHeight="1">
      <c r="C53" s="3"/>
      <c r="D53" s="3"/>
      <c r="E53" s="3"/>
      <c r="F53" s="3"/>
      <c r="G53" s="4"/>
      <c r="Q53" s="28" t="str">
        <f t="shared" si="6"/>
        <v/>
      </c>
      <c r="R53" s="29">
        <f t="shared" si="1"/>
        <v>0</v>
      </c>
      <c r="S53" s="29">
        <f t="shared" si="7"/>
        <v>39</v>
      </c>
      <c r="T53" s="29" t="str">
        <f t="shared" si="2"/>
        <v/>
      </c>
      <c r="U53" s="29" t="str">
        <f t="shared" si="8"/>
        <v/>
      </c>
    </row>
    <row r="54" ht="12.75" customHeight="1">
      <c r="C54" s="3"/>
      <c r="D54" s="3"/>
      <c r="E54" s="3"/>
      <c r="F54" s="3"/>
      <c r="G54" s="4"/>
      <c r="Q54" s="28" t="str">
        <f t="shared" si="6"/>
        <v/>
      </c>
      <c r="R54" s="29">
        <f t="shared" si="1"/>
        <v>0</v>
      </c>
      <c r="S54" s="29">
        <f t="shared" si="7"/>
        <v>39</v>
      </c>
      <c r="T54" s="29" t="str">
        <f t="shared" si="2"/>
        <v/>
      </c>
      <c r="U54" s="29" t="str">
        <f t="shared" si="8"/>
        <v/>
      </c>
    </row>
    <row r="55" ht="12.75" customHeight="1">
      <c r="C55" s="3"/>
      <c r="D55" s="3"/>
      <c r="E55" s="3"/>
      <c r="F55" s="3"/>
      <c r="G55" s="4"/>
      <c r="Q55" s="28" t="str">
        <f t="shared" si="6"/>
        <v/>
      </c>
      <c r="R55" s="29">
        <f t="shared" si="1"/>
        <v>0</v>
      </c>
      <c r="S55" s="29">
        <f t="shared" si="7"/>
        <v>39</v>
      </c>
      <c r="T55" s="29" t="str">
        <f t="shared" si="2"/>
        <v/>
      </c>
      <c r="U55" s="29" t="str">
        <f t="shared" si="8"/>
        <v/>
      </c>
    </row>
    <row r="56" ht="12.75" customHeight="1">
      <c r="C56" s="3"/>
      <c r="D56" s="3"/>
      <c r="E56" s="3"/>
      <c r="F56" s="3"/>
      <c r="G56" s="4"/>
      <c r="Q56" s="28" t="str">
        <f t="shared" si="6"/>
        <v/>
      </c>
      <c r="R56" s="29">
        <f t="shared" si="1"/>
        <v>0</v>
      </c>
      <c r="S56" s="29">
        <f t="shared" si="7"/>
        <v>39</v>
      </c>
      <c r="T56" s="29" t="str">
        <f t="shared" si="2"/>
        <v/>
      </c>
      <c r="U56" s="29" t="str">
        <f t="shared" si="8"/>
        <v/>
      </c>
    </row>
    <row r="57" ht="12.75" customHeight="1">
      <c r="C57" s="3"/>
      <c r="D57" s="3"/>
      <c r="E57" s="3"/>
      <c r="F57" s="3"/>
      <c r="G57" s="4"/>
      <c r="Q57" s="28" t="str">
        <f t="shared" si="6"/>
        <v/>
      </c>
      <c r="R57" s="29">
        <f t="shared" si="1"/>
        <v>0</v>
      </c>
      <c r="S57" s="29">
        <f t="shared" si="7"/>
        <v>39</v>
      </c>
      <c r="T57" s="29" t="str">
        <f t="shared" si="2"/>
        <v/>
      </c>
      <c r="U57" s="29" t="str">
        <f t="shared" si="8"/>
        <v/>
      </c>
    </row>
    <row r="58" ht="12.75" customHeight="1">
      <c r="C58" s="3"/>
      <c r="D58" s="3"/>
      <c r="E58" s="3"/>
      <c r="F58" s="3"/>
      <c r="G58" s="4"/>
      <c r="Q58" s="28" t="str">
        <f t="shared" si="6"/>
        <v/>
      </c>
      <c r="R58" s="29">
        <f t="shared" si="1"/>
        <v>0</v>
      </c>
      <c r="S58" s="29">
        <f t="shared" si="7"/>
        <v>39</v>
      </c>
      <c r="T58" s="29" t="str">
        <f t="shared" si="2"/>
        <v/>
      </c>
      <c r="U58" s="29" t="str">
        <f t="shared" si="8"/>
        <v/>
      </c>
    </row>
    <row r="59" ht="12.75" customHeight="1">
      <c r="C59" s="3"/>
      <c r="D59" s="3"/>
      <c r="E59" s="3"/>
      <c r="F59" s="3"/>
      <c r="G59" s="4"/>
      <c r="Q59" s="28" t="str">
        <f t="shared" si="6"/>
        <v/>
      </c>
      <c r="R59" s="29">
        <f t="shared" si="1"/>
        <v>0</v>
      </c>
      <c r="S59" s="29">
        <f t="shared" si="7"/>
        <v>39</v>
      </c>
      <c r="T59" s="29" t="str">
        <f t="shared" si="2"/>
        <v/>
      </c>
      <c r="U59" s="29" t="str">
        <f t="shared" si="8"/>
        <v/>
      </c>
    </row>
    <row r="60" ht="12.75" customHeight="1">
      <c r="C60" s="3"/>
      <c r="D60" s="3"/>
      <c r="E60" s="3"/>
      <c r="F60" s="3"/>
      <c r="G60" s="4"/>
      <c r="Q60" s="28" t="str">
        <f t="shared" si="6"/>
        <v/>
      </c>
      <c r="R60" s="29">
        <f t="shared" si="1"/>
        <v>0</v>
      </c>
      <c r="S60" s="29">
        <f t="shared" si="7"/>
        <v>39</v>
      </c>
      <c r="T60" s="29" t="str">
        <f t="shared" si="2"/>
        <v/>
      </c>
      <c r="U60" s="29" t="str">
        <f t="shared" si="8"/>
        <v/>
      </c>
    </row>
    <row r="61" ht="12.75" customHeight="1">
      <c r="C61" s="3"/>
      <c r="D61" s="3"/>
      <c r="E61" s="3"/>
      <c r="F61" s="3"/>
      <c r="G61" s="4"/>
      <c r="Q61" s="28" t="str">
        <f t="shared" si="6"/>
        <v/>
      </c>
      <c r="R61" s="29">
        <f t="shared" si="1"/>
        <v>0</v>
      </c>
      <c r="S61" s="29">
        <f t="shared" si="7"/>
        <v>39</v>
      </c>
      <c r="T61" s="29" t="str">
        <f t="shared" si="2"/>
        <v/>
      </c>
      <c r="U61" s="29" t="str">
        <f t="shared" si="8"/>
        <v/>
      </c>
    </row>
    <row r="62" ht="12.75" customHeight="1">
      <c r="C62" s="3"/>
      <c r="D62" s="3"/>
      <c r="E62" s="3"/>
      <c r="F62" s="3"/>
      <c r="G62" s="4"/>
      <c r="Q62" s="28" t="str">
        <f t="shared" si="6"/>
        <v/>
      </c>
      <c r="R62" s="29">
        <f t="shared" si="1"/>
        <v>0</v>
      </c>
      <c r="S62" s="29">
        <f t="shared" si="7"/>
        <v>39</v>
      </c>
      <c r="T62" s="29" t="str">
        <f t="shared" si="2"/>
        <v/>
      </c>
      <c r="U62" s="29" t="str">
        <f t="shared" si="8"/>
        <v/>
      </c>
    </row>
    <row r="63" ht="12.75" customHeight="1">
      <c r="C63" s="3"/>
      <c r="D63" s="3"/>
      <c r="E63" s="3"/>
      <c r="F63" s="3"/>
      <c r="G63" s="4"/>
      <c r="Q63" s="28" t="str">
        <f t="shared" si="6"/>
        <v/>
      </c>
      <c r="R63" s="29">
        <f t="shared" si="1"/>
        <v>0</v>
      </c>
      <c r="S63" s="29">
        <f t="shared" si="7"/>
        <v>39</v>
      </c>
      <c r="T63" s="29" t="str">
        <f t="shared" si="2"/>
        <v/>
      </c>
      <c r="U63" s="29" t="str">
        <f t="shared" si="8"/>
        <v/>
      </c>
    </row>
    <row r="64" ht="12.75" customHeight="1">
      <c r="C64" s="3"/>
      <c r="D64" s="3"/>
      <c r="E64" s="3"/>
      <c r="F64" s="3"/>
      <c r="G64" s="4"/>
      <c r="Q64" s="28" t="str">
        <f t="shared" si="6"/>
        <v/>
      </c>
      <c r="R64" s="29">
        <f t="shared" si="1"/>
        <v>0</v>
      </c>
      <c r="S64" s="29">
        <f t="shared" si="7"/>
        <v>39</v>
      </c>
      <c r="T64" s="29" t="str">
        <f t="shared" si="2"/>
        <v/>
      </c>
      <c r="U64" s="29" t="str">
        <f t="shared" si="8"/>
        <v/>
      </c>
    </row>
    <row r="65" ht="12.75" customHeight="1">
      <c r="C65" s="3"/>
      <c r="D65" s="3"/>
      <c r="E65" s="3"/>
      <c r="F65" s="3"/>
      <c r="G65" s="4"/>
      <c r="Q65" s="28" t="str">
        <f t="shared" si="6"/>
        <v/>
      </c>
      <c r="R65" s="29">
        <f t="shared" si="1"/>
        <v>0</v>
      </c>
      <c r="S65" s="29">
        <f t="shared" si="7"/>
        <v>39</v>
      </c>
      <c r="T65" s="29" t="str">
        <f t="shared" si="2"/>
        <v/>
      </c>
      <c r="U65" s="29" t="str">
        <f t="shared" si="8"/>
        <v/>
      </c>
    </row>
    <row r="66" ht="12.75" customHeight="1">
      <c r="C66" s="3"/>
      <c r="D66" s="3"/>
      <c r="E66" s="3"/>
      <c r="F66" s="3"/>
      <c r="G66" s="4"/>
      <c r="Q66" s="28" t="str">
        <f t="shared" si="6"/>
        <v/>
      </c>
      <c r="R66" s="29">
        <f t="shared" si="1"/>
        <v>0</v>
      </c>
      <c r="S66" s="29">
        <f t="shared" si="7"/>
        <v>39</v>
      </c>
      <c r="T66" s="29" t="str">
        <f t="shared" si="2"/>
        <v/>
      </c>
      <c r="U66" s="29" t="str">
        <f t="shared" si="8"/>
        <v/>
      </c>
    </row>
    <row r="67" ht="12.75" customHeight="1">
      <c r="C67" s="3"/>
      <c r="D67" s="3"/>
      <c r="E67" s="3"/>
      <c r="F67" s="3"/>
      <c r="G67" s="4"/>
      <c r="Q67" s="28" t="str">
        <f t="shared" si="6"/>
        <v/>
      </c>
      <c r="R67" s="29">
        <f t="shared" si="1"/>
        <v>0</v>
      </c>
      <c r="S67" s="29">
        <f t="shared" si="7"/>
        <v>39</v>
      </c>
      <c r="T67" s="29" t="str">
        <f t="shared" si="2"/>
        <v/>
      </c>
      <c r="U67" s="29" t="str">
        <f t="shared" si="8"/>
        <v/>
      </c>
    </row>
    <row r="68" ht="12.75" customHeight="1">
      <c r="C68" s="3"/>
      <c r="D68" s="3"/>
      <c r="E68" s="3"/>
      <c r="F68" s="3"/>
      <c r="G68" s="4"/>
      <c r="Q68" s="28" t="str">
        <f t="shared" si="6"/>
        <v/>
      </c>
      <c r="R68" s="29">
        <f t="shared" si="1"/>
        <v>0</v>
      </c>
      <c r="S68" s="29">
        <f t="shared" si="7"/>
        <v>39</v>
      </c>
      <c r="T68" s="29" t="str">
        <f t="shared" si="2"/>
        <v/>
      </c>
      <c r="U68" s="29" t="str">
        <f t="shared" si="8"/>
        <v/>
      </c>
    </row>
    <row r="69" ht="12.75" customHeight="1">
      <c r="C69" s="3"/>
      <c r="D69" s="3"/>
      <c r="E69" s="3"/>
      <c r="F69" s="3"/>
      <c r="G69" s="4"/>
      <c r="Q69" s="28" t="str">
        <f t="shared" si="6"/>
        <v/>
      </c>
      <c r="R69" s="29">
        <f t="shared" si="1"/>
        <v>0</v>
      </c>
      <c r="S69" s="29">
        <f t="shared" si="7"/>
        <v>39</v>
      </c>
      <c r="T69" s="29" t="str">
        <f t="shared" si="2"/>
        <v/>
      </c>
      <c r="U69" s="29" t="str">
        <f t="shared" si="8"/>
        <v/>
      </c>
    </row>
    <row r="70" ht="12.75" customHeight="1">
      <c r="C70" s="3"/>
      <c r="D70" s="3"/>
      <c r="E70" s="3"/>
      <c r="F70" s="3"/>
      <c r="G70" s="4"/>
      <c r="Q70" s="28" t="str">
        <f t="shared" si="6"/>
        <v/>
      </c>
      <c r="R70" s="29">
        <f t="shared" si="1"/>
        <v>0</v>
      </c>
      <c r="S70" s="29">
        <f t="shared" si="7"/>
        <v>39</v>
      </c>
      <c r="T70" s="29" t="str">
        <f t="shared" si="2"/>
        <v/>
      </c>
      <c r="U70" s="29" t="str">
        <f t="shared" si="8"/>
        <v/>
      </c>
    </row>
    <row r="71" ht="12.75" customHeight="1">
      <c r="C71" s="3"/>
      <c r="D71" s="3"/>
      <c r="E71" s="3"/>
      <c r="F71" s="3"/>
      <c r="G71" s="4"/>
      <c r="Q71" s="28" t="str">
        <f t="shared" si="6"/>
        <v/>
      </c>
      <c r="R71" s="29">
        <f t="shared" si="1"/>
        <v>0</v>
      </c>
      <c r="S71" s="29">
        <f t="shared" si="7"/>
        <v>39</v>
      </c>
      <c r="T71" s="29" t="str">
        <f t="shared" si="2"/>
        <v/>
      </c>
      <c r="U71" s="29" t="str">
        <f t="shared" si="8"/>
        <v/>
      </c>
    </row>
    <row r="72" ht="12.75" customHeight="1">
      <c r="C72" s="3"/>
      <c r="D72" s="3"/>
      <c r="E72" s="3"/>
      <c r="F72" s="3"/>
      <c r="G72" s="4"/>
      <c r="Q72" s="28" t="str">
        <f t="shared" si="6"/>
        <v/>
      </c>
      <c r="R72" s="29">
        <f t="shared" si="1"/>
        <v>0</v>
      </c>
      <c r="S72" s="29">
        <f t="shared" si="7"/>
        <v>39</v>
      </c>
      <c r="T72" s="29" t="str">
        <f t="shared" si="2"/>
        <v/>
      </c>
      <c r="U72" s="29" t="str">
        <f t="shared" si="8"/>
        <v/>
      </c>
    </row>
    <row r="73" ht="12.75" customHeight="1">
      <c r="C73" s="3"/>
      <c r="D73" s="3"/>
      <c r="E73" s="3"/>
      <c r="F73" s="3"/>
      <c r="G73" s="4"/>
      <c r="Q73" s="28" t="str">
        <f t="shared" si="6"/>
        <v/>
      </c>
      <c r="R73" s="29">
        <f t="shared" si="1"/>
        <v>0</v>
      </c>
      <c r="S73" s="29">
        <f t="shared" si="7"/>
        <v>39</v>
      </c>
      <c r="T73" s="29" t="str">
        <f t="shared" si="2"/>
        <v/>
      </c>
      <c r="U73" s="29" t="str">
        <f t="shared" si="8"/>
        <v/>
      </c>
    </row>
    <row r="74" ht="12.75" customHeight="1">
      <c r="C74" s="3"/>
      <c r="D74" s="3"/>
      <c r="E74" s="3"/>
      <c r="F74" s="3"/>
      <c r="G74" s="4"/>
      <c r="Q74" s="28" t="str">
        <f t="shared" si="6"/>
        <v/>
      </c>
      <c r="R74" s="29">
        <f t="shared" si="1"/>
        <v>0</v>
      </c>
      <c r="S74" s="29">
        <f t="shared" si="7"/>
        <v>39</v>
      </c>
      <c r="T74" s="29" t="str">
        <f t="shared" si="2"/>
        <v/>
      </c>
      <c r="U74" s="29" t="str">
        <f t="shared" si="8"/>
        <v/>
      </c>
    </row>
    <row r="75" ht="12.75" customHeight="1">
      <c r="C75" s="3"/>
      <c r="D75" s="3"/>
      <c r="E75" s="3"/>
      <c r="F75" s="3"/>
      <c r="G75" s="4"/>
      <c r="Q75" s="28" t="str">
        <f t="shared" si="6"/>
        <v/>
      </c>
      <c r="R75" s="29">
        <f t="shared" si="1"/>
        <v>0</v>
      </c>
      <c r="S75" s="29">
        <f t="shared" si="7"/>
        <v>39</v>
      </c>
      <c r="T75" s="29" t="str">
        <f t="shared" si="2"/>
        <v/>
      </c>
      <c r="U75" s="29" t="str">
        <f t="shared" si="8"/>
        <v/>
      </c>
    </row>
    <row r="76" ht="12.75" customHeight="1">
      <c r="C76" s="3"/>
      <c r="D76" s="3"/>
      <c r="E76" s="3"/>
      <c r="F76" s="3"/>
      <c r="G76" s="4"/>
      <c r="Q76" s="28" t="str">
        <f t="shared" si="6"/>
        <v/>
      </c>
      <c r="R76" s="29">
        <f t="shared" si="1"/>
        <v>0</v>
      </c>
      <c r="S76" s="29">
        <f t="shared" si="7"/>
        <v>39</v>
      </c>
      <c r="T76" s="29" t="str">
        <f t="shared" si="2"/>
        <v/>
      </c>
      <c r="U76" s="29" t="str">
        <f t="shared" si="8"/>
        <v/>
      </c>
    </row>
    <row r="77" ht="12.75" customHeight="1">
      <c r="C77" s="3"/>
      <c r="D77" s="3"/>
      <c r="E77" s="3"/>
      <c r="F77" s="3"/>
      <c r="G77" s="4"/>
      <c r="Q77" s="28" t="str">
        <f t="shared" si="6"/>
        <v/>
      </c>
      <c r="R77" s="29">
        <f t="shared" si="1"/>
        <v>0</v>
      </c>
      <c r="S77" s="29">
        <f t="shared" si="7"/>
        <v>39</v>
      </c>
      <c r="T77" s="29" t="str">
        <f t="shared" si="2"/>
        <v/>
      </c>
      <c r="U77" s="29" t="str">
        <f t="shared" si="8"/>
        <v/>
      </c>
    </row>
    <row r="78" ht="12.75" customHeight="1">
      <c r="C78" s="3"/>
      <c r="D78" s="3"/>
      <c r="E78" s="3"/>
      <c r="F78" s="3"/>
      <c r="G78" s="4"/>
      <c r="Q78" s="28" t="str">
        <f t="shared" si="6"/>
        <v/>
      </c>
      <c r="R78" s="29">
        <f t="shared" si="1"/>
        <v>0</v>
      </c>
      <c r="S78" s="29">
        <f t="shared" si="7"/>
        <v>39</v>
      </c>
      <c r="T78" s="29" t="str">
        <f t="shared" si="2"/>
        <v/>
      </c>
      <c r="U78" s="29" t="str">
        <f t="shared" si="8"/>
        <v/>
      </c>
    </row>
    <row r="79" ht="12.75" customHeight="1">
      <c r="C79" s="3"/>
      <c r="D79" s="3"/>
      <c r="E79" s="3"/>
      <c r="F79" s="3"/>
      <c r="G79" s="4"/>
      <c r="Q79" s="28" t="str">
        <f t="shared" si="6"/>
        <v/>
      </c>
      <c r="R79" s="29">
        <f t="shared" si="1"/>
        <v>0</v>
      </c>
      <c r="S79" s="29">
        <f t="shared" si="7"/>
        <v>39</v>
      </c>
      <c r="T79" s="29" t="str">
        <f t="shared" si="2"/>
        <v/>
      </c>
      <c r="U79" s="29" t="str">
        <f t="shared" si="8"/>
        <v/>
      </c>
    </row>
    <row r="80" ht="12.75" customHeight="1">
      <c r="C80" s="3"/>
      <c r="D80" s="3"/>
      <c r="E80" s="3"/>
      <c r="F80" s="3"/>
      <c r="G80" s="4"/>
      <c r="Q80" s="28" t="str">
        <f t="shared" si="6"/>
        <v/>
      </c>
      <c r="R80" s="29">
        <f t="shared" si="1"/>
        <v>0</v>
      </c>
      <c r="S80" s="29">
        <f t="shared" si="7"/>
        <v>39</v>
      </c>
      <c r="T80" s="29" t="str">
        <f t="shared" si="2"/>
        <v/>
      </c>
      <c r="U80" s="29" t="str">
        <f t="shared" si="8"/>
        <v/>
      </c>
    </row>
    <row r="81" ht="12.75" customHeight="1">
      <c r="C81" s="3"/>
      <c r="D81" s="3"/>
      <c r="E81" s="3"/>
      <c r="F81" s="3"/>
      <c r="G81" s="4"/>
      <c r="Q81" s="28" t="str">
        <f t="shared" si="6"/>
        <v/>
      </c>
      <c r="R81" s="29">
        <f t="shared" si="1"/>
        <v>0</v>
      </c>
      <c r="S81" s="29">
        <f t="shared" si="7"/>
        <v>39</v>
      </c>
      <c r="T81" s="29" t="str">
        <f t="shared" si="2"/>
        <v/>
      </c>
      <c r="U81" s="29" t="str">
        <f t="shared" si="8"/>
        <v/>
      </c>
    </row>
    <row r="82" ht="12.75" customHeight="1">
      <c r="C82" s="3"/>
      <c r="D82" s="3"/>
      <c r="E82" s="3"/>
      <c r="F82" s="3"/>
      <c r="G82" s="4"/>
      <c r="Q82" s="28" t="str">
        <f t="shared" si="6"/>
        <v/>
      </c>
      <c r="R82" s="29">
        <f t="shared" si="1"/>
        <v>0</v>
      </c>
      <c r="S82" s="29">
        <f t="shared" si="7"/>
        <v>39</v>
      </c>
      <c r="T82" s="29" t="str">
        <f t="shared" si="2"/>
        <v/>
      </c>
      <c r="U82" s="29" t="str">
        <f t="shared" si="8"/>
        <v/>
      </c>
    </row>
    <row r="83" ht="12.75" customHeight="1">
      <c r="C83" s="3"/>
      <c r="D83" s="3"/>
      <c r="E83" s="3"/>
      <c r="F83" s="3"/>
      <c r="G83" s="4"/>
      <c r="Q83" s="28" t="str">
        <f t="shared" si="6"/>
        <v/>
      </c>
      <c r="R83" s="29">
        <f t="shared" si="1"/>
        <v>0</v>
      </c>
      <c r="S83" s="29">
        <f t="shared" si="7"/>
        <v>39</v>
      </c>
      <c r="T83" s="29" t="str">
        <f t="shared" si="2"/>
        <v/>
      </c>
      <c r="U83" s="29" t="str">
        <f t="shared" si="8"/>
        <v/>
      </c>
    </row>
    <row r="84" ht="12.75" customHeight="1">
      <c r="C84" s="3"/>
      <c r="D84" s="3"/>
      <c r="E84" s="3"/>
      <c r="F84" s="3"/>
      <c r="G84" s="4"/>
      <c r="Q84" s="28" t="str">
        <f t="shared" si="6"/>
        <v/>
      </c>
      <c r="R84" s="29">
        <f t="shared" si="1"/>
        <v>0</v>
      </c>
      <c r="S84" s="29">
        <f t="shared" si="7"/>
        <v>39</v>
      </c>
      <c r="T84" s="29" t="str">
        <f t="shared" si="2"/>
        <v/>
      </c>
      <c r="U84" s="29" t="str">
        <f t="shared" si="8"/>
        <v/>
      </c>
    </row>
    <row r="85" ht="12.75" customHeight="1">
      <c r="C85" s="3"/>
      <c r="D85" s="3"/>
      <c r="E85" s="3"/>
      <c r="F85" s="3"/>
      <c r="G85" s="4"/>
      <c r="Q85" s="28" t="str">
        <f t="shared" si="6"/>
        <v/>
      </c>
      <c r="R85" s="29">
        <f t="shared" si="1"/>
        <v>0</v>
      </c>
      <c r="S85" s="29">
        <f t="shared" si="7"/>
        <v>39</v>
      </c>
      <c r="T85" s="29" t="str">
        <f t="shared" si="2"/>
        <v/>
      </c>
      <c r="U85" s="29" t="str">
        <f t="shared" si="8"/>
        <v/>
      </c>
    </row>
    <row r="86" ht="12.75" customHeight="1">
      <c r="C86" s="3"/>
      <c r="D86" s="3"/>
      <c r="E86" s="3"/>
      <c r="F86" s="3"/>
      <c r="G86" s="4"/>
      <c r="Q86" s="28" t="str">
        <f t="shared" si="6"/>
        <v/>
      </c>
      <c r="R86" s="29">
        <f t="shared" si="1"/>
        <v>0</v>
      </c>
      <c r="S86" s="29">
        <f t="shared" si="7"/>
        <v>39</v>
      </c>
      <c r="T86" s="29" t="str">
        <f t="shared" si="2"/>
        <v/>
      </c>
      <c r="U86" s="29" t="str">
        <f t="shared" si="8"/>
        <v/>
      </c>
    </row>
    <row r="87" ht="12.75" customHeight="1">
      <c r="C87" s="3"/>
      <c r="D87" s="3"/>
      <c r="E87" s="3"/>
      <c r="F87" s="3"/>
      <c r="G87" s="4"/>
      <c r="Q87" s="28" t="str">
        <f t="shared" si="6"/>
        <v/>
      </c>
      <c r="R87" s="29">
        <f t="shared" si="1"/>
        <v>0</v>
      </c>
      <c r="S87" s="29">
        <f t="shared" si="7"/>
        <v>39</v>
      </c>
      <c r="T87" s="29" t="str">
        <f t="shared" si="2"/>
        <v/>
      </c>
      <c r="U87" s="29" t="str">
        <f t="shared" si="8"/>
        <v/>
      </c>
    </row>
    <row r="88" ht="12.75" customHeight="1">
      <c r="C88" s="3"/>
      <c r="D88" s="3"/>
      <c r="E88" s="3"/>
      <c r="F88" s="3"/>
      <c r="G88" s="4"/>
      <c r="Q88" s="28" t="str">
        <f t="shared" si="6"/>
        <v/>
      </c>
      <c r="R88" s="29">
        <f t="shared" si="1"/>
        <v>0</v>
      </c>
      <c r="S88" s="29">
        <f t="shared" si="7"/>
        <v>39</v>
      </c>
      <c r="T88" s="29" t="str">
        <f t="shared" si="2"/>
        <v/>
      </c>
      <c r="U88" s="29" t="str">
        <f t="shared" si="8"/>
        <v/>
      </c>
    </row>
    <row r="89" ht="12.75" customHeight="1">
      <c r="C89" s="3"/>
      <c r="D89" s="3"/>
      <c r="E89" s="3"/>
      <c r="F89" s="3"/>
      <c r="G89" s="4"/>
      <c r="Q89" s="28" t="str">
        <f t="shared" si="6"/>
        <v/>
      </c>
      <c r="R89" s="29">
        <f t="shared" si="1"/>
        <v>0</v>
      </c>
      <c r="S89" s="29">
        <f t="shared" si="7"/>
        <v>39</v>
      </c>
      <c r="T89" s="29" t="str">
        <f t="shared" si="2"/>
        <v/>
      </c>
      <c r="U89" s="29" t="str">
        <f t="shared" si="8"/>
        <v/>
      </c>
    </row>
    <row r="90" ht="12.75" customHeight="1">
      <c r="C90" s="3"/>
      <c r="D90" s="3"/>
      <c r="E90" s="3"/>
      <c r="F90" s="3"/>
      <c r="G90" s="4"/>
      <c r="Q90" s="28" t="str">
        <f t="shared" si="6"/>
        <v/>
      </c>
      <c r="R90" s="29">
        <f t="shared" si="1"/>
        <v>0</v>
      </c>
      <c r="S90" s="29">
        <f t="shared" si="7"/>
        <v>39</v>
      </c>
      <c r="T90" s="29" t="str">
        <f t="shared" si="2"/>
        <v/>
      </c>
      <c r="U90" s="29" t="str">
        <f t="shared" si="8"/>
        <v/>
      </c>
    </row>
    <row r="91" ht="12.75" customHeight="1">
      <c r="C91" s="3"/>
      <c r="D91" s="3"/>
      <c r="E91" s="3"/>
      <c r="F91" s="3"/>
      <c r="G91" s="4"/>
      <c r="Q91" s="28" t="str">
        <f t="shared" si="6"/>
        <v/>
      </c>
      <c r="R91" s="29">
        <f t="shared" si="1"/>
        <v>0</v>
      </c>
      <c r="S91" s="29">
        <f t="shared" si="7"/>
        <v>39</v>
      </c>
      <c r="T91" s="29" t="str">
        <f t="shared" si="2"/>
        <v/>
      </c>
      <c r="U91" s="29" t="str">
        <f t="shared" si="8"/>
        <v/>
      </c>
    </row>
    <row r="92" ht="12.75" customHeight="1">
      <c r="C92" s="3"/>
      <c r="D92" s="3"/>
      <c r="E92" s="3"/>
      <c r="F92" s="3"/>
      <c r="G92" s="4"/>
      <c r="Q92" s="28" t="str">
        <f t="shared" si="6"/>
        <v/>
      </c>
      <c r="R92" s="29">
        <f t="shared" si="1"/>
        <v>0</v>
      </c>
      <c r="S92" s="29">
        <f t="shared" si="7"/>
        <v>39</v>
      </c>
      <c r="T92" s="29" t="str">
        <f t="shared" si="2"/>
        <v/>
      </c>
      <c r="U92" s="29" t="str">
        <f t="shared" si="8"/>
        <v/>
      </c>
    </row>
    <row r="93" ht="12.75" customHeight="1">
      <c r="C93" s="3"/>
      <c r="D93" s="3"/>
      <c r="E93" s="3"/>
      <c r="F93" s="3"/>
      <c r="G93" s="4"/>
      <c r="Q93" s="28" t="str">
        <f t="shared" si="6"/>
        <v/>
      </c>
      <c r="R93" s="29">
        <f t="shared" si="1"/>
        <v>0</v>
      </c>
      <c r="S93" s="29">
        <f t="shared" si="7"/>
        <v>39</v>
      </c>
      <c r="T93" s="29" t="str">
        <f t="shared" si="2"/>
        <v/>
      </c>
      <c r="U93" s="29" t="str">
        <f t="shared" si="8"/>
        <v/>
      </c>
    </row>
    <row r="94" ht="12.75" customHeight="1">
      <c r="C94" s="3"/>
      <c r="D94" s="3"/>
      <c r="E94" s="3"/>
      <c r="F94" s="3"/>
      <c r="G94" s="4"/>
      <c r="Q94" s="28" t="str">
        <f t="shared" si="6"/>
        <v/>
      </c>
      <c r="R94" s="29">
        <f t="shared" si="1"/>
        <v>0</v>
      </c>
      <c r="S94" s="29">
        <f t="shared" si="7"/>
        <v>39</v>
      </c>
      <c r="T94" s="29" t="str">
        <f t="shared" si="2"/>
        <v/>
      </c>
      <c r="U94" s="29" t="str">
        <f t="shared" si="8"/>
        <v/>
      </c>
    </row>
    <row r="95" ht="12.75" customHeight="1">
      <c r="C95" s="3"/>
      <c r="D95" s="3"/>
      <c r="E95" s="3"/>
      <c r="F95" s="3"/>
      <c r="G95" s="4"/>
      <c r="Q95" s="28" t="str">
        <f t="shared" si="6"/>
        <v/>
      </c>
      <c r="R95" s="29">
        <f t="shared" si="1"/>
        <v>0</v>
      </c>
      <c r="S95" s="29">
        <f t="shared" si="7"/>
        <v>39</v>
      </c>
      <c r="T95" s="29" t="str">
        <f t="shared" si="2"/>
        <v/>
      </c>
      <c r="U95" s="29" t="str">
        <f t="shared" si="8"/>
        <v/>
      </c>
    </row>
    <row r="96" ht="12.75" customHeight="1">
      <c r="C96" s="3"/>
      <c r="D96" s="3"/>
      <c r="E96" s="3"/>
      <c r="F96" s="3"/>
      <c r="G96" s="4"/>
      <c r="Q96" s="28" t="str">
        <f t="shared" si="6"/>
        <v/>
      </c>
      <c r="R96" s="29">
        <f t="shared" si="1"/>
        <v>0</v>
      </c>
      <c r="S96" s="29">
        <f t="shared" si="7"/>
        <v>39</v>
      </c>
      <c r="T96" s="29" t="str">
        <f t="shared" si="2"/>
        <v/>
      </c>
      <c r="U96" s="29" t="str">
        <f t="shared" si="8"/>
        <v/>
      </c>
    </row>
    <row r="97" ht="12.75" customHeight="1">
      <c r="C97" s="3"/>
      <c r="D97" s="3"/>
      <c r="E97" s="3"/>
      <c r="F97" s="3"/>
      <c r="G97" s="4"/>
      <c r="Q97" s="28" t="str">
        <f t="shared" si="6"/>
        <v/>
      </c>
      <c r="R97" s="29">
        <f t="shared" si="1"/>
        <v>0</v>
      </c>
      <c r="S97" s="29">
        <f t="shared" si="7"/>
        <v>39</v>
      </c>
      <c r="T97" s="29" t="str">
        <f t="shared" si="2"/>
        <v/>
      </c>
      <c r="U97" s="29" t="str">
        <f t="shared" si="8"/>
        <v/>
      </c>
    </row>
    <row r="98" ht="12.75" customHeight="1">
      <c r="C98" s="3"/>
      <c r="D98" s="3"/>
      <c r="E98" s="3"/>
      <c r="F98" s="3"/>
      <c r="G98" s="4"/>
      <c r="Q98" s="28" t="str">
        <f t="shared" si="6"/>
        <v/>
      </c>
      <c r="R98" s="29">
        <f t="shared" si="1"/>
        <v>0</v>
      </c>
      <c r="S98" s="29">
        <f t="shared" si="7"/>
        <v>39</v>
      </c>
      <c r="T98" s="29" t="str">
        <f t="shared" si="2"/>
        <v/>
      </c>
      <c r="U98" s="29" t="str">
        <f t="shared" si="8"/>
        <v/>
      </c>
    </row>
    <row r="99" ht="12.75" customHeight="1">
      <c r="C99" s="3"/>
      <c r="D99" s="3"/>
      <c r="E99" s="3"/>
      <c r="F99" s="3"/>
      <c r="G99" s="4"/>
      <c r="Q99" s="28" t="str">
        <f t="shared" si="6"/>
        <v/>
      </c>
      <c r="R99" s="29">
        <f t="shared" si="1"/>
        <v>0</v>
      </c>
      <c r="S99" s="29">
        <f t="shared" si="7"/>
        <v>39</v>
      </c>
      <c r="T99" s="29" t="str">
        <f t="shared" si="2"/>
        <v/>
      </c>
      <c r="U99" s="29" t="str">
        <f t="shared" si="8"/>
        <v/>
      </c>
    </row>
    <row r="100" ht="12.75" customHeight="1">
      <c r="C100" s="3"/>
      <c r="D100" s="3"/>
      <c r="E100" s="3"/>
      <c r="F100" s="3"/>
      <c r="G100" s="4"/>
      <c r="Q100" s="28" t="str">
        <f t="shared" si="6"/>
        <v/>
      </c>
      <c r="R100" s="29">
        <f t="shared" si="1"/>
        <v>0</v>
      </c>
      <c r="S100" s="29">
        <f t="shared" si="7"/>
        <v>39</v>
      </c>
      <c r="T100" s="29" t="str">
        <f t="shared" si="2"/>
        <v/>
      </c>
      <c r="U100" s="29" t="str">
        <f t="shared" si="8"/>
        <v/>
      </c>
    </row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F2:F100">
    <cfRule type="containsText" dxfId="3" priority="1" operator="containsText" text="Done">
      <formula>NOT(ISERROR(SEARCH(("Done"),(F2))))</formula>
    </cfRule>
  </conditionalFormatting>
  <conditionalFormatting sqref="F2:F100">
    <cfRule type="containsText" dxfId="6" priority="2" operator="containsText" text="In Progress">
      <formula>NOT(ISERROR(SEARCH(("In Progress"),(F2))))</formula>
    </cfRule>
  </conditionalFormatting>
  <conditionalFormatting sqref="F2:F100">
    <cfRule type="containsText" dxfId="7" priority="3" operator="containsText" text="To Do">
      <formula>NOT(ISERROR(SEARCH(("To Do"),(F2))))</formula>
    </cfRule>
  </conditionalFormatting>
  <dataValidations>
    <dataValidation type="list" allowBlank="1" showInputMessage="1" showErrorMessage="1" prompt="Invalid Entry - Please select a team member from the list." sqref="E2:E100">
      <formula1>"Abdullah Waleed bin Maneea,Abdullah Yousef aldhayan,Abdullah Ibrahim aloud,Fahad Ali alghubayshi"</formula1>
    </dataValidation>
    <dataValidation type="list" allowBlank="1" showInputMessage="1" showErrorMessage="1" prompt="Invalid Entry - Please select: To Do, In Progress, or Done." sqref="F2:F100">
      <formula1>"To Do,In Progress,Done"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12.75" customHeight="1">
      <c r="A1" s="9" t="s">
        <v>3</v>
      </c>
      <c r="B1" s="9" t="s">
        <v>164</v>
      </c>
    </row>
    <row r="2" ht="12.75" customHeight="1">
      <c r="A2" s="9" t="s">
        <v>5</v>
      </c>
      <c r="B2" s="9" t="s">
        <v>165</v>
      </c>
    </row>
    <row r="3" ht="12.75" customHeight="1">
      <c r="A3" s="9" t="s">
        <v>7</v>
      </c>
      <c r="B3" s="9" t="s">
        <v>26</v>
      </c>
    </row>
    <row r="4" ht="12.75" customHeight="1">
      <c r="A4" s="9" t="s">
        <v>9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25"/>
    <col customWidth="1" min="3" max="9" width="12.75"/>
    <col customWidth="1" min="10" max="10" width="12.38"/>
    <col customWidth="1" min="11" max="11" width="13.38"/>
    <col customWidth="1" min="12" max="12" width="16.75"/>
    <col customWidth="1" min="13" max="13" width="12.38"/>
    <col customWidth="1" min="14" max="14" width="13.38"/>
    <col customWidth="1" min="15" max="15" width="16.75"/>
    <col customWidth="1" min="16" max="17" width="12.75"/>
    <col customWidth="1" min="18" max="18" width="20.0"/>
    <col customWidth="1" min="19" max="19" width="19.38"/>
    <col customWidth="1" min="20" max="20" width="20.13"/>
    <col customWidth="1" min="21" max="21" width="17.13"/>
  </cols>
  <sheetData>
    <row r="1" ht="15.75" customHeight="1">
      <c r="A1" s="3" t="s">
        <v>15</v>
      </c>
      <c r="B1" s="13" t="s">
        <v>137</v>
      </c>
      <c r="C1" s="13" t="s">
        <v>138</v>
      </c>
      <c r="D1" s="13" t="s">
        <v>139</v>
      </c>
      <c r="E1" s="13" t="s">
        <v>140</v>
      </c>
      <c r="F1" s="13" t="s">
        <v>20</v>
      </c>
      <c r="G1" s="1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  <c r="U1" s="3" t="s">
        <v>146</v>
      </c>
    </row>
    <row r="2" ht="15.75" customHeight="1">
      <c r="A2" s="3" t="s">
        <v>57</v>
      </c>
      <c r="B2" s="3" t="s">
        <v>166</v>
      </c>
      <c r="C2" s="9">
        <v>8.0</v>
      </c>
      <c r="D2" s="3">
        <v>4.0</v>
      </c>
      <c r="E2" s="3" t="s">
        <v>7</v>
      </c>
      <c r="F2" s="3" t="s">
        <v>26</v>
      </c>
      <c r="G2" s="14">
        <v>46086.0</v>
      </c>
      <c r="H2" s="15"/>
      <c r="I2" s="16" t="s">
        <v>148</v>
      </c>
      <c r="J2" s="16">
        <v>2.0</v>
      </c>
      <c r="L2" s="17" t="s">
        <v>140</v>
      </c>
      <c r="M2" s="17" t="s">
        <v>149</v>
      </c>
      <c r="N2" s="17" t="s">
        <v>150</v>
      </c>
      <c r="O2" s="17" t="s">
        <v>151</v>
      </c>
      <c r="Q2" s="14">
        <f>J3</f>
        <v>46086</v>
      </c>
      <c r="R2" s="9">
        <f t="shared" ref="R2:R100" si="1">SUMIFS($C$2:$C$100,$G$2:$G$100,Q2,$F$2:$F$100,"Done")</f>
        <v>8</v>
      </c>
      <c r="S2" s="9">
        <f>R2</f>
        <v>8</v>
      </c>
      <c r="T2" s="18">
        <f t="shared" ref="T2:T100" si="2">IF(AND(ISNUMBER(Q2),Q2&lt;=TODAY()),$M$10-S2,"")</f>
        <v>58</v>
      </c>
      <c r="U2" s="9">
        <f>$M$10</f>
        <v>66</v>
      </c>
    </row>
    <row r="3" ht="15.75" customHeight="1">
      <c r="A3" s="9" t="s">
        <v>69</v>
      </c>
      <c r="B3" s="9" t="s">
        <v>167</v>
      </c>
      <c r="C3" s="9">
        <v>10.0</v>
      </c>
      <c r="D3" s="29">
        <v>10.0</v>
      </c>
      <c r="E3" s="3" t="s">
        <v>5</v>
      </c>
      <c r="F3" s="3" t="s">
        <v>26</v>
      </c>
      <c r="G3" s="14">
        <v>46088.0</v>
      </c>
      <c r="H3" s="3"/>
      <c r="I3" s="16" t="s">
        <v>153</v>
      </c>
      <c r="J3" s="19">
        <v>46086.0</v>
      </c>
      <c r="L3" s="17" t="str">
        <f>'Team Members'!A2</f>
        <v>Abdullah Waleed bin Maneea</v>
      </c>
      <c r="M3" s="17">
        <f t="shared" ref="M3:M6" si="3">SUMIF($E$2:$E$100,L3,$C$2:$C$100)</f>
        <v>14</v>
      </c>
      <c r="N3" s="20">
        <f t="shared" ref="N3:N6" si="4">SUMIFS($C$2:$C$100, $E$2:$E$100,L3,$F$2:$F$100,"Done" )</f>
        <v>14</v>
      </c>
      <c r="O3" s="21">
        <f t="shared" ref="O3:O6" si="5">IFERROR(N3/M3, 0)</f>
        <v>1</v>
      </c>
      <c r="Q3" s="14">
        <f t="shared" ref="Q3:Q100" si="6">IF(ISNUMBER(Q2),IF(Q2-$J$3&lt;$J$4,Q2+1,""),"")</f>
        <v>46087</v>
      </c>
      <c r="R3" s="9">
        <f t="shared" si="1"/>
        <v>0</v>
      </c>
      <c r="S3" s="9">
        <f t="shared" ref="S3:S100" si="7">SUM($R$2:R3)</f>
        <v>8</v>
      </c>
      <c r="T3" s="18">
        <f t="shared" si="2"/>
        <v>58</v>
      </c>
      <c r="U3" s="22">
        <f t="shared" ref="U3:U100" si="8">IF(ISNUMBER(Q3),MAX(U2-$J$5,0),"")</f>
        <v>61.28571429</v>
      </c>
    </row>
    <row r="4" ht="15.75" customHeight="1">
      <c r="A4" s="9" t="s">
        <v>61</v>
      </c>
      <c r="B4" s="9" t="s">
        <v>168</v>
      </c>
      <c r="C4" s="9">
        <v>8.0</v>
      </c>
      <c r="D4" s="29">
        <v>8.0</v>
      </c>
      <c r="E4" s="3" t="s">
        <v>9</v>
      </c>
      <c r="F4" s="3" t="s">
        <v>26</v>
      </c>
      <c r="G4" s="14">
        <v>46090.0</v>
      </c>
      <c r="H4" s="3"/>
      <c r="I4" s="16" t="s">
        <v>155</v>
      </c>
      <c r="J4" s="16">
        <v>14.0</v>
      </c>
      <c r="L4" s="17" t="str">
        <f>'Team Members'!A3</f>
        <v>Abdullah Yousef aldhayan</v>
      </c>
      <c r="M4" s="17">
        <f t="shared" si="3"/>
        <v>36</v>
      </c>
      <c r="N4" s="20">
        <f t="shared" si="4"/>
        <v>36</v>
      </c>
      <c r="O4" s="21">
        <f t="shared" si="5"/>
        <v>1</v>
      </c>
      <c r="Q4" s="14">
        <f t="shared" si="6"/>
        <v>46088</v>
      </c>
      <c r="R4" s="9">
        <f t="shared" si="1"/>
        <v>10</v>
      </c>
      <c r="S4" s="9">
        <f t="shared" si="7"/>
        <v>18</v>
      </c>
      <c r="T4" s="18">
        <f t="shared" si="2"/>
        <v>48</v>
      </c>
      <c r="U4" s="22">
        <f t="shared" si="8"/>
        <v>56.57142857</v>
      </c>
    </row>
    <row r="5" ht="15.75" customHeight="1">
      <c r="A5" s="9" t="s">
        <v>73</v>
      </c>
      <c r="B5" s="9" t="s">
        <v>169</v>
      </c>
      <c r="C5" s="9">
        <v>8.0</v>
      </c>
      <c r="D5" s="29">
        <v>8.0</v>
      </c>
      <c r="E5" s="3" t="s">
        <v>5</v>
      </c>
      <c r="F5" s="3" t="s">
        <v>26</v>
      </c>
      <c r="G5" s="14">
        <v>46092.0</v>
      </c>
      <c r="H5" s="3"/>
      <c r="I5" s="16" t="s">
        <v>157</v>
      </c>
      <c r="J5" s="23">
        <f>SUM($C$2:$C$100)/$J$4</f>
        <v>4.714285714</v>
      </c>
      <c r="L5" s="17" t="str">
        <f>'Team Members'!A4</f>
        <v>Abdullah Ibrahim aloud</v>
      </c>
      <c r="M5" s="17">
        <f t="shared" si="3"/>
        <v>8</v>
      </c>
      <c r="N5" s="20">
        <f t="shared" si="4"/>
        <v>8</v>
      </c>
      <c r="O5" s="21">
        <f t="shared" si="5"/>
        <v>1</v>
      </c>
      <c r="Q5" s="14">
        <f t="shared" si="6"/>
        <v>46089</v>
      </c>
      <c r="R5" s="9">
        <f t="shared" si="1"/>
        <v>0</v>
      </c>
      <c r="S5" s="9">
        <f t="shared" si="7"/>
        <v>18</v>
      </c>
      <c r="T5" s="18">
        <f t="shared" si="2"/>
        <v>48</v>
      </c>
      <c r="U5" s="22">
        <f t="shared" si="8"/>
        <v>51.85714286</v>
      </c>
    </row>
    <row r="6" ht="15.75" customHeight="1">
      <c r="A6" s="9" t="s">
        <v>65</v>
      </c>
      <c r="B6" s="9" t="s">
        <v>170</v>
      </c>
      <c r="C6" s="9">
        <v>8.0</v>
      </c>
      <c r="D6" s="29">
        <v>8.0</v>
      </c>
      <c r="E6" s="3" t="s">
        <v>3</v>
      </c>
      <c r="F6" s="3" t="s">
        <v>26</v>
      </c>
      <c r="G6" s="14">
        <v>46093.0</v>
      </c>
      <c r="H6" s="3"/>
      <c r="L6" s="17" t="str">
        <f>'Team Members'!A5</f>
        <v>Fahad Ali alghubayshi</v>
      </c>
      <c r="M6" s="17">
        <f t="shared" si="3"/>
        <v>8</v>
      </c>
      <c r="N6" s="20">
        <f t="shared" si="4"/>
        <v>8</v>
      </c>
      <c r="O6" s="21">
        <f t="shared" si="5"/>
        <v>1</v>
      </c>
      <c r="Q6" s="14">
        <f t="shared" si="6"/>
        <v>46090</v>
      </c>
      <c r="R6" s="9">
        <f t="shared" si="1"/>
        <v>8</v>
      </c>
      <c r="S6" s="9">
        <f t="shared" si="7"/>
        <v>26</v>
      </c>
      <c r="T6" s="18">
        <f t="shared" si="2"/>
        <v>40</v>
      </c>
      <c r="U6" s="22">
        <f t="shared" si="8"/>
        <v>47.14285714</v>
      </c>
    </row>
    <row r="7" ht="15.75" customHeight="1">
      <c r="A7" s="9" t="s">
        <v>81</v>
      </c>
      <c r="B7" s="9" t="s">
        <v>171</v>
      </c>
      <c r="C7" s="9">
        <v>8.0</v>
      </c>
      <c r="D7" s="29">
        <v>8.0</v>
      </c>
      <c r="E7" s="3" t="s">
        <v>5</v>
      </c>
      <c r="F7" s="3" t="s">
        <v>26</v>
      </c>
      <c r="G7" s="14">
        <v>46095.0</v>
      </c>
      <c r="H7" s="3"/>
      <c r="L7" s="17"/>
      <c r="M7" s="17"/>
      <c r="N7" s="20"/>
      <c r="O7" s="21"/>
      <c r="Q7" s="14">
        <f t="shared" si="6"/>
        <v>46091</v>
      </c>
      <c r="R7" s="9">
        <f t="shared" si="1"/>
        <v>0</v>
      </c>
      <c r="S7" s="9">
        <f t="shared" si="7"/>
        <v>26</v>
      </c>
      <c r="T7" s="18">
        <f t="shared" si="2"/>
        <v>40</v>
      </c>
      <c r="U7" s="22">
        <f t="shared" si="8"/>
        <v>42.42857143</v>
      </c>
    </row>
    <row r="8" ht="15.75" customHeight="1">
      <c r="A8" s="9" t="s">
        <v>85</v>
      </c>
      <c r="B8" s="9" t="s">
        <v>172</v>
      </c>
      <c r="C8" s="9">
        <v>10.0</v>
      </c>
      <c r="D8" s="29">
        <v>10.0</v>
      </c>
      <c r="E8" s="3" t="s">
        <v>5</v>
      </c>
      <c r="F8" s="3" t="s">
        <v>26</v>
      </c>
      <c r="G8" s="14">
        <v>46097.0</v>
      </c>
      <c r="H8" s="3"/>
      <c r="L8" s="17"/>
      <c r="M8" s="17"/>
      <c r="N8" s="20"/>
      <c r="O8" s="21"/>
      <c r="Q8" s="14">
        <f t="shared" si="6"/>
        <v>46092</v>
      </c>
      <c r="R8" s="9">
        <f t="shared" si="1"/>
        <v>8</v>
      </c>
      <c r="S8" s="9">
        <f t="shared" si="7"/>
        <v>34</v>
      </c>
      <c r="T8" s="18">
        <f t="shared" si="2"/>
        <v>32</v>
      </c>
      <c r="U8" s="22">
        <f t="shared" si="8"/>
        <v>37.71428571</v>
      </c>
    </row>
    <row r="9" ht="15.75" customHeight="1">
      <c r="A9" s="9" t="s">
        <v>89</v>
      </c>
      <c r="B9" s="9" t="s">
        <v>173</v>
      </c>
      <c r="C9" s="3">
        <v>6.0</v>
      </c>
      <c r="D9" s="3">
        <v>6.0</v>
      </c>
      <c r="E9" s="3" t="s">
        <v>3</v>
      </c>
      <c r="F9" s="3" t="s">
        <v>26</v>
      </c>
      <c r="G9" s="14">
        <v>46099.0</v>
      </c>
      <c r="M9" s="17"/>
      <c r="Q9" s="14">
        <f t="shared" si="6"/>
        <v>46093</v>
      </c>
      <c r="R9" s="9">
        <f t="shared" si="1"/>
        <v>8</v>
      </c>
      <c r="S9" s="9">
        <f t="shared" si="7"/>
        <v>42</v>
      </c>
      <c r="T9" s="18">
        <f t="shared" si="2"/>
        <v>24</v>
      </c>
      <c r="U9" s="22">
        <f t="shared" si="8"/>
        <v>33</v>
      </c>
    </row>
    <row r="10" ht="15.75" customHeight="1">
      <c r="A10" s="3"/>
      <c r="B10" s="3"/>
      <c r="C10" s="3"/>
      <c r="D10" s="3"/>
      <c r="E10" s="3"/>
      <c r="F10" s="3"/>
      <c r="G10" s="4"/>
      <c r="H10" s="15"/>
      <c r="L10" s="24" t="s">
        <v>163</v>
      </c>
      <c r="M10" s="25">
        <f t="shared" ref="M10:N10" si="9">SUM(M3:M6)</f>
        <v>66</v>
      </c>
      <c r="N10" s="25">
        <f t="shared" si="9"/>
        <v>66</v>
      </c>
      <c r="O10" s="26">
        <f>IFERROR(N10/M10, 0)</f>
        <v>1</v>
      </c>
      <c r="Q10" s="14">
        <f t="shared" si="6"/>
        <v>46094</v>
      </c>
      <c r="R10" s="9">
        <f t="shared" si="1"/>
        <v>0</v>
      </c>
      <c r="S10" s="9">
        <f t="shared" si="7"/>
        <v>42</v>
      </c>
      <c r="T10" s="18">
        <f t="shared" si="2"/>
        <v>24</v>
      </c>
      <c r="U10" s="22">
        <f t="shared" si="8"/>
        <v>28.28571429</v>
      </c>
    </row>
    <row r="11" ht="15.75" customHeight="1">
      <c r="A11" s="3"/>
      <c r="B11" s="3"/>
      <c r="C11" s="3"/>
      <c r="D11" s="3"/>
      <c r="E11" s="3"/>
      <c r="F11" s="3"/>
      <c r="G11" s="4"/>
      <c r="Q11" s="14">
        <f t="shared" si="6"/>
        <v>46095</v>
      </c>
      <c r="R11" s="9">
        <f t="shared" si="1"/>
        <v>8</v>
      </c>
      <c r="S11" s="9">
        <f t="shared" si="7"/>
        <v>50</v>
      </c>
      <c r="T11" s="18">
        <f t="shared" si="2"/>
        <v>16</v>
      </c>
      <c r="U11" s="22">
        <f t="shared" si="8"/>
        <v>23.57142857</v>
      </c>
    </row>
    <row r="12" ht="15.75" customHeight="1">
      <c r="C12" s="3"/>
      <c r="D12" s="3"/>
      <c r="E12" s="3"/>
      <c r="F12" s="3"/>
      <c r="G12" s="4"/>
      <c r="Q12" s="14">
        <f t="shared" si="6"/>
        <v>46096</v>
      </c>
      <c r="R12" s="9">
        <f t="shared" si="1"/>
        <v>0</v>
      </c>
      <c r="S12" s="9">
        <f t="shared" si="7"/>
        <v>50</v>
      </c>
      <c r="T12" s="18">
        <f t="shared" si="2"/>
        <v>16</v>
      </c>
      <c r="U12" s="22">
        <f t="shared" si="8"/>
        <v>18.85714286</v>
      </c>
    </row>
    <row r="13" ht="15.75" customHeight="1">
      <c r="C13" s="3"/>
      <c r="D13" s="3"/>
      <c r="E13" s="3"/>
      <c r="F13" s="3"/>
      <c r="G13" s="4"/>
      <c r="Q13" s="14">
        <f t="shared" si="6"/>
        <v>46097</v>
      </c>
      <c r="R13" s="9">
        <f t="shared" si="1"/>
        <v>10</v>
      </c>
      <c r="S13" s="9">
        <f t="shared" si="7"/>
        <v>60</v>
      </c>
      <c r="T13" s="18">
        <f t="shared" si="2"/>
        <v>6</v>
      </c>
      <c r="U13" s="22">
        <f t="shared" si="8"/>
        <v>14.14285714</v>
      </c>
    </row>
    <row r="14" ht="15.75" customHeight="1">
      <c r="C14" s="3"/>
      <c r="D14" s="3"/>
      <c r="E14" s="3"/>
      <c r="F14" s="3"/>
      <c r="G14" s="4"/>
      <c r="Q14" s="14">
        <f t="shared" si="6"/>
        <v>46098</v>
      </c>
      <c r="R14" s="9">
        <f t="shared" si="1"/>
        <v>0</v>
      </c>
      <c r="S14" s="9">
        <f t="shared" si="7"/>
        <v>60</v>
      </c>
      <c r="T14" s="18">
        <f t="shared" si="2"/>
        <v>6</v>
      </c>
      <c r="U14" s="22">
        <f t="shared" si="8"/>
        <v>9.428571429</v>
      </c>
    </row>
    <row r="15" ht="15.75" customHeight="1">
      <c r="C15" s="3"/>
      <c r="D15" s="3"/>
      <c r="E15" s="3"/>
      <c r="F15" s="3"/>
      <c r="G15" s="4"/>
      <c r="Q15" s="14">
        <f t="shared" si="6"/>
        <v>46099</v>
      </c>
      <c r="R15" s="9">
        <f t="shared" si="1"/>
        <v>6</v>
      </c>
      <c r="S15" s="9">
        <f t="shared" si="7"/>
        <v>66</v>
      </c>
      <c r="T15" s="18">
        <f t="shared" si="2"/>
        <v>0</v>
      </c>
      <c r="U15" s="22">
        <f t="shared" si="8"/>
        <v>4.714285714</v>
      </c>
    </row>
    <row r="16" ht="15.75" customHeight="1">
      <c r="C16" s="3"/>
      <c r="D16" s="3"/>
      <c r="E16" s="3"/>
      <c r="F16" s="3"/>
      <c r="G16" s="4"/>
      <c r="Q16" s="14">
        <f t="shared" si="6"/>
        <v>46100</v>
      </c>
      <c r="R16" s="9">
        <f t="shared" si="1"/>
        <v>0</v>
      </c>
      <c r="S16" s="9">
        <f t="shared" si="7"/>
        <v>66</v>
      </c>
      <c r="T16" s="18">
        <f t="shared" si="2"/>
        <v>0</v>
      </c>
      <c r="U16" s="22">
        <f t="shared" si="8"/>
        <v>0</v>
      </c>
    </row>
    <row r="17" ht="15.75" customHeight="1">
      <c r="C17" s="3"/>
      <c r="D17" s="3"/>
      <c r="E17" s="3"/>
      <c r="F17" s="3"/>
      <c r="G17" s="4"/>
      <c r="Q17" s="27" t="str">
        <f t="shared" si="6"/>
        <v/>
      </c>
      <c r="R17" s="9">
        <f t="shared" si="1"/>
        <v>0</v>
      </c>
      <c r="S17" s="9">
        <f t="shared" si="7"/>
        <v>66</v>
      </c>
      <c r="T17" s="18" t="str">
        <f t="shared" si="2"/>
        <v/>
      </c>
      <c r="U17" s="22" t="str">
        <f t="shared" si="8"/>
        <v/>
      </c>
    </row>
    <row r="18" ht="15.75" customHeight="1">
      <c r="C18" s="3"/>
      <c r="D18" s="3"/>
      <c r="E18" s="3"/>
      <c r="F18" s="3"/>
      <c r="G18" s="4"/>
      <c r="Q18" s="27" t="str">
        <f t="shared" si="6"/>
        <v/>
      </c>
      <c r="R18" s="9">
        <f t="shared" si="1"/>
        <v>0</v>
      </c>
      <c r="S18" s="9">
        <f t="shared" si="7"/>
        <v>66</v>
      </c>
      <c r="T18" s="18" t="str">
        <f t="shared" si="2"/>
        <v/>
      </c>
      <c r="U18" s="22" t="str">
        <f t="shared" si="8"/>
        <v/>
      </c>
    </row>
    <row r="19" ht="15.75" customHeight="1">
      <c r="C19" s="3"/>
      <c r="D19" s="3"/>
      <c r="E19" s="3"/>
      <c r="F19" s="3"/>
      <c r="G19" s="4"/>
      <c r="Q19" s="27" t="str">
        <f t="shared" si="6"/>
        <v/>
      </c>
      <c r="R19" s="9">
        <f t="shared" si="1"/>
        <v>0</v>
      </c>
      <c r="S19" s="9">
        <f t="shared" si="7"/>
        <v>66</v>
      </c>
      <c r="T19" s="18" t="str">
        <f t="shared" si="2"/>
        <v/>
      </c>
      <c r="U19" s="22" t="str">
        <f t="shared" si="8"/>
        <v/>
      </c>
    </row>
    <row r="20" ht="15.75" customHeight="1">
      <c r="C20" s="3"/>
      <c r="D20" s="3"/>
      <c r="E20" s="3"/>
      <c r="F20" s="3"/>
      <c r="G20" s="4"/>
      <c r="Q20" s="27" t="str">
        <f t="shared" si="6"/>
        <v/>
      </c>
      <c r="R20" s="9">
        <f t="shared" si="1"/>
        <v>0</v>
      </c>
      <c r="S20" s="9">
        <f t="shared" si="7"/>
        <v>66</v>
      </c>
      <c r="T20" s="18" t="str">
        <f t="shared" si="2"/>
        <v/>
      </c>
      <c r="U20" s="22" t="str">
        <f t="shared" si="8"/>
        <v/>
      </c>
    </row>
    <row r="21" ht="15.75" customHeight="1">
      <c r="C21" s="3"/>
      <c r="D21" s="3"/>
      <c r="E21" s="3"/>
      <c r="F21" s="3"/>
      <c r="G21" s="4"/>
      <c r="Q21" s="27" t="str">
        <f t="shared" si="6"/>
        <v/>
      </c>
      <c r="R21" s="9">
        <f t="shared" si="1"/>
        <v>0</v>
      </c>
      <c r="S21" s="9">
        <f t="shared" si="7"/>
        <v>66</v>
      </c>
      <c r="T21" s="18" t="str">
        <f t="shared" si="2"/>
        <v/>
      </c>
      <c r="U21" s="22" t="str">
        <f t="shared" si="8"/>
        <v/>
      </c>
    </row>
    <row r="22" ht="15.75" customHeight="1">
      <c r="C22" s="3"/>
      <c r="D22" s="3"/>
      <c r="E22" s="3"/>
      <c r="F22" s="3"/>
      <c r="G22" s="4"/>
      <c r="Q22" s="27" t="str">
        <f t="shared" si="6"/>
        <v/>
      </c>
      <c r="R22" s="9">
        <f t="shared" si="1"/>
        <v>0</v>
      </c>
      <c r="S22" s="9">
        <f t="shared" si="7"/>
        <v>66</v>
      </c>
      <c r="T22" s="18" t="str">
        <f t="shared" si="2"/>
        <v/>
      </c>
      <c r="U22" s="22" t="str">
        <f t="shared" si="8"/>
        <v/>
      </c>
    </row>
    <row r="23" ht="15.75" customHeight="1">
      <c r="C23" s="3"/>
      <c r="D23" s="3"/>
      <c r="E23" s="3"/>
      <c r="F23" s="3"/>
      <c r="G23" s="4"/>
      <c r="Q23" s="27" t="str">
        <f t="shared" si="6"/>
        <v/>
      </c>
      <c r="R23" s="9">
        <f t="shared" si="1"/>
        <v>0</v>
      </c>
      <c r="S23" s="9">
        <f t="shared" si="7"/>
        <v>66</v>
      </c>
      <c r="T23" s="18" t="str">
        <f t="shared" si="2"/>
        <v/>
      </c>
      <c r="U23" s="22" t="str">
        <f t="shared" si="8"/>
        <v/>
      </c>
    </row>
    <row r="24" ht="15.75" customHeight="1">
      <c r="C24" s="3"/>
      <c r="D24" s="3"/>
      <c r="E24" s="3"/>
      <c r="F24" s="3"/>
      <c r="G24" s="4"/>
      <c r="Q24" s="27" t="str">
        <f t="shared" si="6"/>
        <v/>
      </c>
      <c r="R24" s="9">
        <f t="shared" si="1"/>
        <v>0</v>
      </c>
      <c r="S24" s="9">
        <f t="shared" si="7"/>
        <v>66</v>
      </c>
      <c r="T24" s="18" t="str">
        <f t="shared" si="2"/>
        <v/>
      </c>
      <c r="U24" s="22" t="str">
        <f t="shared" si="8"/>
        <v/>
      </c>
    </row>
    <row r="25" ht="15.75" customHeight="1">
      <c r="C25" s="3"/>
      <c r="D25" s="3"/>
      <c r="E25" s="3"/>
      <c r="F25" s="3"/>
      <c r="G25" s="4"/>
      <c r="Q25" s="27" t="str">
        <f t="shared" si="6"/>
        <v/>
      </c>
      <c r="R25" s="9">
        <f t="shared" si="1"/>
        <v>0</v>
      </c>
      <c r="S25" s="9">
        <f t="shared" si="7"/>
        <v>66</v>
      </c>
      <c r="T25" s="18" t="str">
        <f t="shared" si="2"/>
        <v/>
      </c>
      <c r="U25" s="22" t="str">
        <f t="shared" si="8"/>
        <v/>
      </c>
    </row>
    <row r="26" ht="15.75" customHeight="1">
      <c r="C26" s="3"/>
      <c r="D26" s="3"/>
      <c r="E26" s="3"/>
      <c r="F26" s="3"/>
      <c r="G26" s="4"/>
      <c r="Q26" s="27" t="str">
        <f t="shared" si="6"/>
        <v/>
      </c>
      <c r="R26" s="9">
        <f t="shared" si="1"/>
        <v>0</v>
      </c>
      <c r="S26" s="9">
        <f t="shared" si="7"/>
        <v>66</v>
      </c>
      <c r="T26" s="18" t="str">
        <f t="shared" si="2"/>
        <v/>
      </c>
      <c r="U26" s="22" t="str">
        <f t="shared" si="8"/>
        <v/>
      </c>
    </row>
    <row r="27" ht="15.75" customHeight="1">
      <c r="C27" s="3"/>
      <c r="D27" s="3"/>
      <c r="E27" s="3"/>
      <c r="F27" s="3"/>
      <c r="G27" s="4"/>
      <c r="Q27" s="27" t="str">
        <f t="shared" si="6"/>
        <v/>
      </c>
      <c r="R27" s="9">
        <f t="shared" si="1"/>
        <v>0</v>
      </c>
      <c r="S27" s="9">
        <f t="shared" si="7"/>
        <v>66</v>
      </c>
      <c r="T27" s="18" t="str">
        <f t="shared" si="2"/>
        <v/>
      </c>
      <c r="U27" s="22" t="str">
        <f t="shared" si="8"/>
        <v/>
      </c>
    </row>
    <row r="28" ht="15.75" customHeight="1">
      <c r="C28" s="3"/>
      <c r="D28" s="3"/>
      <c r="E28" s="3"/>
      <c r="F28" s="3"/>
      <c r="G28" s="4"/>
      <c r="Q28" s="27" t="str">
        <f t="shared" si="6"/>
        <v/>
      </c>
      <c r="R28" s="9">
        <f t="shared" si="1"/>
        <v>0</v>
      </c>
      <c r="S28" s="9">
        <f t="shared" si="7"/>
        <v>66</v>
      </c>
      <c r="T28" s="18" t="str">
        <f t="shared" si="2"/>
        <v/>
      </c>
      <c r="U28" s="22" t="str">
        <f t="shared" si="8"/>
        <v/>
      </c>
    </row>
    <row r="29" ht="15.75" customHeight="1">
      <c r="C29" s="3"/>
      <c r="D29" s="3"/>
      <c r="E29" s="3"/>
      <c r="F29" s="3"/>
      <c r="G29" s="4"/>
      <c r="Q29" s="27" t="str">
        <f t="shared" si="6"/>
        <v/>
      </c>
      <c r="R29" s="9">
        <f t="shared" si="1"/>
        <v>0</v>
      </c>
      <c r="S29" s="9">
        <f t="shared" si="7"/>
        <v>66</v>
      </c>
      <c r="T29" s="18" t="str">
        <f t="shared" si="2"/>
        <v/>
      </c>
      <c r="U29" s="22" t="str">
        <f t="shared" si="8"/>
        <v/>
      </c>
    </row>
    <row r="30" ht="15.75" customHeight="1">
      <c r="C30" s="3"/>
      <c r="D30" s="3"/>
      <c r="E30" s="3"/>
      <c r="F30" s="3"/>
      <c r="G30" s="4"/>
      <c r="Q30" s="27" t="str">
        <f t="shared" si="6"/>
        <v/>
      </c>
      <c r="R30" s="9">
        <f t="shared" si="1"/>
        <v>0</v>
      </c>
      <c r="S30" s="9">
        <f t="shared" si="7"/>
        <v>66</v>
      </c>
      <c r="T30" s="18" t="str">
        <f t="shared" si="2"/>
        <v/>
      </c>
      <c r="U30" s="22" t="str">
        <f t="shared" si="8"/>
        <v/>
      </c>
    </row>
    <row r="31" ht="15.75" customHeight="1">
      <c r="C31" s="3"/>
      <c r="D31" s="3"/>
      <c r="E31" s="3"/>
      <c r="F31" s="3"/>
      <c r="G31" s="4"/>
      <c r="Q31" s="27" t="str">
        <f t="shared" si="6"/>
        <v/>
      </c>
      <c r="R31" s="9">
        <f t="shared" si="1"/>
        <v>0</v>
      </c>
      <c r="S31" s="9">
        <f t="shared" si="7"/>
        <v>66</v>
      </c>
      <c r="T31" s="18" t="str">
        <f t="shared" si="2"/>
        <v/>
      </c>
      <c r="U31" s="22" t="str">
        <f t="shared" si="8"/>
        <v/>
      </c>
    </row>
    <row r="32" ht="15.75" customHeight="1">
      <c r="C32" s="3"/>
      <c r="D32" s="3"/>
      <c r="E32" s="3"/>
      <c r="F32" s="3"/>
      <c r="G32" s="4"/>
      <c r="Q32" s="27" t="str">
        <f t="shared" si="6"/>
        <v/>
      </c>
      <c r="R32" s="9">
        <f t="shared" si="1"/>
        <v>0</v>
      </c>
      <c r="S32" s="9">
        <f t="shared" si="7"/>
        <v>66</v>
      </c>
      <c r="T32" s="18" t="str">
        <f t="shared" si="2"/>
        <v/>
      </c>
      <c r="U32" s="22" t="str">
        <f t="shared" si="8"/>
        <v/>
      </c>
    </row>
    <row r="33" ht="15.75" customHeight="1">
      <c r="C33" s="3"/>
      <c r="D33" s="3"/>
      <c r="E33" s="3"/>
      <c r="F33" s="3"/>
      <c r="G33" s="4"/>
      <c r="Q33" s="27" t="str">
        <f t="shared" si="6"/>
        <v/>
      </c>
      <c r="R33" s="9">
        <f t="shared" si="1"/>
        <v>0</v>
      </c>
      <c r="S33" s="9">
        <f t="shared" si="7"/>
        <v>66</v>
      </c>
      <c r="T33" s="18" t="str">
        <f t="shared" si="2"/>
        <v/>
      </c>
      <c r="U33" s="22" t="str">
        <f t="shared" si="8"/>
        <v/>
      </c>
    </row>
    <row r="34" ht="15.75" customHeight="1">
      <c r="C34" s="3"/>
      <c r="D34" s="3"/>
      <c r="E34" s="3"/>
      <c r="F34" s="3"/>
      <c r="G34" s="4"/>
      <c r="Q34" s="27" t="str">
        <f t="shared" si="6"/>
        <v/>
      </c>
      <c r="R34" s="9">
        <f t="shared" si="1"/>
        <v>0</v>
      </c>
      <c r="S34" s="9">
        <f t="shared" si="7"/>
        <v>66</v>
      </c>
      <c r="T34" s="18" t="str">
        <f t="shared" si="2"/>
        <v/>
      </c>
      <c r="U34" s="22" t="str">
        <f t="shared" si="8"/>
        <v/>
      </c>
    </row>
    <row r="35" ht="15.75" customHeight="1">
      <c r="C35" s="3"/>
      <c r="D35" s="3"/>
      <c r="E35" s="3"/>
      <c r="F35" s="3"/>
      <c r="G35" s="4"/>
      <c r="Q35" s="27" t="str">
        <f t="shared" si="6"/>
        <v/>
      </c>
      <c r="R35" s="9">
        <f t="shared" si="1"/>
        <v>0</v>
      </c>
      <c r="S35" s="9">
        <f t="shared" si="7"/>
        <v>66</v>
      </c>
      <c r="T35" s="18" t="str">
        <f t="shared" si="2"/>
        <v/>
      </c>
      <c r="U35" s="22" t="str">
        <f t="shared" si="8"/>
        <v/>
      </c>
    </row>
    <row r="36" ht="15.75" customHeight="1">
      <c r="C36" s="3"/>
      <c r="D36" s="3"/>
      <c r="E36" s="3"/>
      <c r="F36" s="3"/>
      <c r="G36" s="4"/>
      <c r="Q36" s="27" t="str">
        <f t="shared" si="6"/>
        <v/>
      </c>
      <c r="R36" s="9">
        <f t="shared" si="1"/>
        <v>0</v>
      </c>
      <c r="S36" s="9">
        <f t="shared" si="7"/>
        <v>66</v>
      </c>
      <c r="T36" s="18" t="str">
        <f t="shared" si="2"/>
        <v/>
      </c>
      <c r="U36" s="22" t="str">
        <f t="shared" si="8"/>
        <v/>
      </c>
    </row>
    <row r="37" ht="15.75" customHeight="1">
      <c r="C37" s="3"/>
      <c r="D37" s="3"/>
      <c r="E37" s="3"/>
      <c r="F37" s="3"/>
      <c r="G37" s="4"/>
      <c r="Q37" s="27" t="str">
        <f t="shared" si="6"/>
        <v/>
      </c>
      <c r="R37" s="9">
        <f t="shared" si="1"/>
        <v>0</v>
      </c>
      <c r="S37" s="9">
        <f t="shared" si="7"/>
        <v>66</v>
      </c>
      <c r="T37" s="18" t="str">
        <f t="shared" si="2"/>
        <v/>
      </c>
      <c r="U37" s="22" t="str">
        <f t="shared" si="8"/>
        <v/>
      </c>
    </row>
    <row r="38" ht="15.75" customHeight="1">
      <c r="C38" s="3"/>
      <c r="D38" s="3"/>
      <c r="E38" s="3"/>
      <c r="F38" s="3"/>
      <c r="G38" s="4"/>
      <c r="Q38" s="27" t="str">
        <f t="shared" si="6"/>
        <v/>
      </c>
      <c r="R38" s="9">
        <f t="shared" si="1"/>
        <v>0</v>
      </c>
      <c r="S38" s="9">
        <f t="shared" si="7"/>
        <v>66</v>
      </c>
      <c r="T38" s="18" t="str">
        <f t="shared" si="2"/>
        <v/>
      </c>
      <c r="U38" s="22" t="str">
        <f t="shared" si="8"/>
        <v/>
      </c>
    </row>
    <row r="39" ht="15.75" customHeight="1">
      <c r="C39" s="3"/>
      <c r="D39" s="3"/>
      <c r="E39" s="3"/>
      <c r="F39" s="3"/>
      <c r="G39" s="4"/>
      <c r="Q39" s="27" t="str">
        <f t="shared" si="6"/>
        <v/>
      </c>
      <c r="R39" s="9">
        <f t="shared" si="1"/>
        <v>0</v>
      </c>
      <c r="S39" s="9">
        <f t="shared" si="7"/>
        <v>66</v>
      </c>
      <c r="T39" s="18" t="str">
        <f t="shared" si="2"/>
        <v/>
      </c>
      <c r="U39" s="22" t="str">
        <f t="shared" si="8"/>
        <v/>
      </c>
    </row>
    <row r="40" ht="15.75" customHeight="1">
      <c r="C40" s="3"/>
      <c r="D40" s="3"/>
      <c r="E40" s="3"/>
      <c r="F40" s="3"/>
      <c r="G40" s="4"/>
      <c r="Q40" s="27" t="str">
        <f t="shared" si="6"/>
        <v/>
      </c>
      <c r="R40" s="9">
        <f t="shared" si="1"/>
        <v>0</v>
      </c>
      <c r="S40" s="9">
        <f t="shared" si="7"/>
        <v>66</v>
      </c>
      <c r="T40" s="18" t="str">
        <f t="shared" si="2"/>
        <v/>
      </c>
      <c r="U40" s="22" t="str">
        <f t="shared" si="8"/>
        <v/>
      </c>
    </row>
    <row r="41" ht="15.75" customHeight="1">
      <c r="C41" s="3"/>
      <c r="D41" s="3"/>
      <c r="E41" s="3"/>
      <c r="F41" s="3"/>
      <c r="G41" s="4"/>
      <c r="Q41" s="28" t="str">
        <f t="shared" si="6"/>
        <v/>
      </c>
      <c r="R41" s="29">
        <f t="shared" si="1"/>
        <v>0</v>
      </c>
      <c r="S41" s="29">
        <f t="shared" si="7"/>
        <v>66</v>
      </c>
      <c r="T41" s="29" t="str">
        <f t="shared" si="2"/>
        <v/>
      </c>
      <c r="U41" s="29" t="str">
        <f t="shared" si="8"/>
        <v/>
      </c>
    </row>
    <row r="42" ht="15.75" customHeight="1">
      <c r="C42" s="3"/>
      <c r="D42" s="3"/>
      <c r="E42" s="3"/>
      <c r="F42" s="3"/>
      <c r="G42" s="4"/>
      <c r="Q42" s="28" t="str">
        <f t="shared" si="6"/>
        <v/>
      </c>
      <c r="R42" s="29">
        <f t="shared" si="1"/>
        <v>0</v>
      </c>
      <c r="S42" s="29">
        <f t="shared" si="7"/>
        <v>66</v>
      </c>
      <c r="T42" s="29" t="str">
        <f t="shared" si="2"/>
        <v/>
      </c>
      <c r="U42" s="29" t="str">
        <f t="shared" si="8"/>
        <v/>
      </c>
    </row>
    <row r="43" ht="15.75" customHeight="1">
      <c r="C43" s="3"/>
      <c r="D43" s="3"/>
      <c r="E43" s="3"/>
      <c r="F43" s="3"/>
      <c r="G43" s="4"/>
      <c r="Q43" s="28" t="str">
        <f t="shared" si="6"/>
        <v/>
      </c>
      <c r="R43" s="29">
        <f t="shared" si="1"/>
        <v>0</v>
      </c>
      <c r="S43" s="29">
        <f t="shared" si="7"/>
        <v>66</v>
      </c>
      <c r="T43" s="29" t="str">
        <f t="shared" si="2"/>
        <v/>
      </c>
      <c r="U43" s="29" t="str">
        <f t="shared" si="8"/>
        <v/>
      </c>
    </row>
    <row r="44" ht="15.75" customHeight="1">
      <c r="C44" s="3"/>
      <c r="D44" s="3"/>
      <c r="E44" s="3"/>
      <c r="F44" s="3"/>
      <c r="G44" s="4"/>
      <c r="Q44" s="28" t="str">
        <f t="shared" si="6"/>
        <v/>
      </c>
      <c r="R44" s="29">
        <f t="shared" si="1"/>
        <v>0</v>
      </c>
      <c r="S44" s="29">
        <f t="shared" si="7"/>
        <v>66</v>
      </c>
      <c r="T44" s="29" t="str">
        <f t="shared" si="2"/>
        <v/>
      </c>
      <c r="U44" s="29" t="str">
        <f t="shared" si="8"/>
        <v/>
      </c>
    </row>
    <row r="45" ht="15.75" customHeight="1">
      <c r="C45" s="3"/>
      <c r="D45" s="3"/>
      <c r="E45" s="3"/>
      <c r="F45" s="3"/>
      <c r="G45" s="4"/>
      <c r="Q45" s="28" t="str">
        <f t="shared" si="6"/>
        <v/>
      </c>
      <c r="R45" s="29">
        <f t="shared" si="1"/>
        <v>0</v>
      </c>
      <c r="S45" s="29">
        <f t="shared" si="7"/>
        <v>66</v>
      </c>
      <c r="T45" s="29" t="str">
        <f t="shared" si="2"/>
        <v/>
      </c>
      <c r="U45" s="29" t="str">
        <f t="shared" si="8"/>
        <v/>
      </c>
    </row>
    <row r="46" ht="12.75" customHeight="1">
      <c r="C46" s="3"/>
      <c r="D46" s="3"/>
      <c r="E46" s="3"/>
      <c r="F46" s="3"/>
      <c r="G46" s="4"/>
      <c r="Q46" s="28" t="str">
        <f t="shared" si="6"/>
        <v/>
      </c>
      <c r="R46" s="29">
        <f t="shared" si="1"/>
        <v>0</v>
      </c>
      <c r="S46" s="29">
        <f t="shared" si="7"/>
        <v>66</v>
      </c>
      <c r="T46" s="29" t="str">
        <f t="shared" si="2"/>
        <v/>
      </c>
      <c r="U46" s="29" t="str">
        <f t="shared" si="8"/>
        <v/>
      </c>
    </row>
    <row r="47" ht="12.75" customHeight="1">
      <c r="C47" s="3"/>
      <c r="D47" s="3"/>
      <c r="E47" s="3"/>
      <c r="F47" s="3"/>
      <c r="G47" s="4"/>
      <c r="Q47" s="28" t="str">
        <f t="shared" si="6"/>
        <v/>
      </c>
      <c r="R47" s="29">
        <f t="shared" si="1"/>
        <v>0</v>
      </c>
      <c r="S47" s="29">
        <f t="shared" si="7"/>
        <v>66</v>
      </c>
      <c r="T47" s="29" t="str">
        <f t="shared" si="2"/>
        <v/>
      </c>
      <c r="U47" s="29" t="str">
        <f t="shared" si="8"/>
        <v/>
      </c>
    </row>
    <row r="48" ht="12.75" customHeight="1">
      <c r="C48" s="3"/>
      <c r="D48" s="3"/>
      <c r="E48" s="3"/>
      <c r="F48" s="3"/>
      <c r="G48" s="4"/>
      <c r="Q48" s="28" t="str">
        <f t="shared" si="6"/>
        <v/>
      </c>
      <c r="R48" s="29">
        <f t="shared" si="1"/>
        <v>0</v>
      </c>
      <c r="S48" s="29">
        <f t="shared" si="7"/>
        <v>66</v>
      </c>
      <c r="T48" s="29" t="str">
        <f t="shared" si="2"/>
        <v/>
      </c>
      <c r="U48" s="29" t="str">
        <f t="shared" si="8"/>
        <v/>
      </c>
    </row>
    <row r="49" ht="12.75" customHeight="1">
      <c r="C49" s="3"/>
      <c r="D49" s="3"/>
      <c r="E49" s="3"/>
      <c r="F49" s="3"/>
      <c r="G49" s="4"/>
      <c r="Q49" s="28" t="str">
        <f t="shared" si="6"/>
        <v/>
      </c>
      <c r="R49" s="29">
        <f t="shared" si="1"/>
        <v>0</v>
      </c>
      <c r="S49" s="29">
        <f t="shared" si="7"/>
        <v>66</v>
      </c>
      <c r="T49" s="29" t="str">
        <f t="shared" si="2"/>
        <v/>
      </c>
      <c r="U49" s="29" t="str">
        <f t="shared" si="8"/>
        <v/>
      </c>
    </row>
    <row r="50" ht="12.75" customHeight="1">
      <c r="C50" s="3"/>
      <c r="D50" s="3"/>
      <c r="E50" s="3"/>
      <c r="F50" s="3"/>
      <c r="G50" s="4"/>
      <c r="Q50" s="28" t="str">
        <f t="shared" si="6"/>
        <v/>
      </c>
      <c r="R50" s="29">
        <f t="shared" si="1"/>
        <v>0</v>
      </c>
      <c r="S50" s="29">
        <f t="shared" si="7"/>
        <v>66</v>
      </c>
      <c r="T50" s="29" t="str">
        <f t="shared" si="2"/>
        <v/>
      </c>
      <c r="U50" s="29" t="str">
        <f t="shared" si="8"/>
        <v/>
      </c>
    </row>
    <row r="51" ht="12.75" customHeight="1">
      <c r="C51" s="3"/>
      <c r="D51" s="3"/>
      <c r="E51" s="3"/>
      <c r="F51" s="3"/>
      <c r="G51" s="4"/>
      <c r="Q51" s="28" t="str">
        <f t="shared" si="6"/>
        <v/>
      </c>
      <c r="R51" s="29">
        <f t="shared" si="1"/>
        <v>0</v>
      </c>
      <c r="S51" s="29">
        <f t="shared" si="7"/>
        <v>66</v>
      </c>
      <c r="T51" s="29" t="str">
        <f t="shared" si="2"/>
        <v/>
      </c>
      <c r="U51" s="29" t="str">
        <f t="shared" si="8"/>
        <v/>
      </c>
    </row>
    <row r="52" ht="12.75" customHeight="1">
      <c r="C52" s="3"/>
      <c r="D52" s="3"/>
      <c r="E52" s="3"/>
      <c r="F52" s="3"/>
      <c r="G52" s="4"/>
      <c r="Q52" s="28" t="str">
        <f t="shared" si="6"/>
        <v/>
      </c>
      <c r="R52" s="29">
        <f t="shared" si="1"/>
        <v>0</v>
      </c>
      <c r="S52" s="29">
        <f t="shared" si="7"/>
        <v>66</v>
      </c>
      <c r="T52" s="29" t="str">
        <f t="shared" si="2"/>
        <v/>
      </c>
      <c r="U52" s="29" t="str">
        <f t="shared" si="8"/>
        <v/>
      </c>
    </row>
    <row r="53" ht="12.75" customHeight="1">
      <c r="C53" s="3"/>
      <c r="D53" s="3"/>
      <c r="E53" s="3"/>
      <c r="F53" s="3"/>
      <c r="G53" s="4"/>
      <c r="Q53" s="28" t="str">
        <f t="shared" si="6"/>
        <v/>
      </c>
      <c r="R53" s="29">
        <f t="shared" si="1"/>
        <v>0</v>
      </c>
      <c r="S53" s="29">
        <f t="shared" si="7"/>
        <v>66</v>
      </c>
      <c r="T53" s="29" t="str">
        <f t="shared" si="2"/>
        <v/>
      </c>
      <c r="U53" s="29" t="str">
        <f t="shared" si="8"/>
        <v/>
      </c>
    </row>
    <row r="54" ht="12.75" customHeight="1">
      <c r="C54" s="3"/>
      <c r="D54" s="3"/>
      <c r="E54" s="3"/>
      <c r="F54" s="3"/>
      <c r="G54" s="4"/>
      <c r="Q54" s="28" t="str">
        <f t="shared" si="6"/>
        <v/>
      </c>
      <c r="R54" s="29">
        <f t="shared" si="1"/>
        <v>0</v>
      </c>
      <c r="S54" s="29">
        <f t="shared" si="7"/>
        <v>66</v>
      </c>
      <c r="T54" s="29" t="str">
        <f t="shared" si="2"/>
        <v/>
      </c>
      <c r="U54" s="29" t="str">
        <f t="shared" si="8"/>
        <v/>
      </c>
    </row>
    <row r="55" ht="12.75" customHeight="1">
      <c r="C55" s="3"/>
      <c r="D55" s="3"/>
      <c r="E55" s="3"/>
      <c r="F55" s="3"/>
      <c r="G55" s="4"/>
      <c r="Q55" s="28" t="str">
        <f t="shared" si="6"/>
        <v/>
      </c>
      <c r="R55" s="29">
        <f t="shared" si="1"/>
        <v>0</v>
      </c>
      <c r="S55" s="29">
        <f t="shared" si="7"/>
        <v>66</v>
      </c>
      <c r="T55" s="29" t="str">
        <f t="shared" si="2"/>
        <v/>
      </c>
      <c r="U55" s="29" t="str">
        <f t="shared" si="8"/>
        <v/>
      </c>
    </row>
    <row r="56" ht="12.75" customHeight="1">
      <c r="C56" s="3"/>
      <c r="D56" s="3"/>
      <c r="E56" s="3"/>
      <c r="F56" s="3"/>
      <c r="G56" s="4"/>
      <c r="Q56" s="28" t="str">
        <f t="shared" si="6"/>
        <v/>
      </c>
      <c r="R56" s="29">
        <f t="shared" si="1"/>
        <v>0</v>
      </c>
      <c r="S56" s="29">
        <f t="shared" si="7"/>
        <v>66</v>
      </c>
      <c r="T56" s="29" t="str">
        <f t="shared" si="2"/>
        <v/>
      </c>
      <c r="U56" s="29" t="str">
        <f t="shared" si="8"/>
        <v/>
      </c>
    </row>
    <row r="57" ht="12.75" customHeight="1">
      <c r="C57" s="3"/>
      <c r="D57" s="3"/>
      <c r="E57" s="3"/>
      <c r="F57" s="3"/>
      <c r="G57" s="4"/>
      <c r="Q57" s="28" t="str">
        <f t="shared" si="6"/>
        <v/>
      </c>
      <c r="R57" s="29">
        <f t="shared" si="1"/>
        <v>0</v>
      </c>
      <c r="S57" s="29">
        <f t="shared" si="7"/>
        <v>66</v>
      </c>
      <c r="T57" s="29" t="str">
        <f t="shared" si="2"/>
        <v/>
      </c>
      <c r="U57" s="29" t="str">
        <f t="shared" si="8"/>
        <v/>
      </c>
    </row>
    <row r="58" ht="12.75" customHeight="1">
      <c r="C58" s="3"/>
      <c r="D58" s="3"/>
      <c r="E58" s="3"/>
      <c r="F58" s="3"/>
      <c r="G58" s="4"/>
      <c r="Q58" s="28" t="str">
        <f t="shared" si="6"/>
        <v/>
      </c>
      <c r="R58" s="29">
        <f t="shared" si="1"/>
        <v>0</v>
      </c>
      <c r="S58" s="29">
        <f t="shared" si="7"/>
        <v>66</v>
      </c>
      <c r="T58" s="29" t="str">
        <f t="shared" si="2"/>
        <v/>
      </c>
      <c r="U58" s="29" t="str">
        <f t="shared" si="8"/>
        <v/>
      </c>
    </row>
    <row r="59" ht="12.75" customHeight="1">
      <c r="C59" s="3"/>
      <c r="D59" s="3"/>
      <c r="E59" s="3"/>
      <c r="F59" s="3"/>
      <c r="G59" s="4"/>
      <c r="Q59" s="28" t="str">
        <f t="shared" si="6"/>
        <v/>
      </c>
      <c r="R59" s="29">
        <f t="shared" si="1"/>
        <v>0</v>
      </c>
      <c r="S59" s="29">
        <f t="shared" si="7"/>
        <v>66</v>
      </c>
      <c r="T59" s="29" t="str">
        <f t="shared" si="2"/>
        <v/>
      </c>
      <c r="U59" s="29" t="str">
        <f t="shared" si="8"/>
        <v/>
      </c>
    </row>
    <row r="60" ht="12.75" customHeight="1">
      <c r="C60" s="3"/>
      <c r="D60" s="3"/>
      <c r="E60" s="3"/>
      <c r="F60" s="3"/>
      <c r="G60" s="4"/>
      <c r="Q60" s="28" t="str">
        <f t="shared" si="6"/>
        <v/>
      </c>
      <c r="R60" s="29">
        <f t="shared" si="1"/>
        <v>0</v>
      </c>
      <c r="S60" s="29">
        <f t="shared" si="7"/>
        <v>66</v>
      </c>
      <c r="T60" s="29" t="str">
        <f t="shared" si="2"/>
        <v/>
      </c>
      <c r="U60" s="29" t="str">
        <f t="shared" si="8"/>
        <v/>
      </c>
    </row>
    <row r="61" ht="12.75" customHeight="1">
      <c r="C61" s="3"/>
      <c r="D61" s="3"/>
      <c r="E61" s="3"/>
      <c r="F61" s="3"/>
      <c r="G61" s="4"/>
      <c r="Q61" s="28" t="str">
        <f t="shared" si="6"/>
        <v/>
      </c>
      <c r="R61" s="29">
        <f t="shared" si="1"/>
        <v>0</v>
      </c>
      <c r="S61" s="29">
        <f t="shared" si="7"/>
        <v>66</v>
      </c>
      <c r="T61" s="29" t="str">
        <f t="shared" si="2"/>
        <v/>
      </c>
      <c r="U61" s="29" t="str">
        <f t="shared" si="8"/>
        <v/>
      </c>
    </row>
    <row r="62" ht="12.75" customHeight="1">
      <c r="C62" s="3"/>
      <c r="D62" s="3"/>
      <c r="E62" s="3"/>
      <c r="F62" s="3"/>
      <c r="G62" s="4"/>
      <c r="Q62" s="28" t="str">
        <f t="shared" si="6"/>
        <v/>
      </c>
      <c r="R62" s="29">
        <f t="shared" si="1"/>
        <v>0</v>
      </c>
      <c r="S62" s="29">
        <f t="shared" si="7"/>
        <v>66</v>
      </c>
      <c r="T62" s="29" t="str">
        <f t="shared" si="2"/>
        <v/>
      </c>
      <c r="U62" s="29" t="str">
        <f t="shared" si="8"/>
        <v/>
      </c>
    </row>
    <row r="63" ht="12.75" customHeight="1">
      <c r="C63" s="3"/>
      <c r="D63" s="3"/>
      <c r="E63" s="3"/>
      <c r="F63" s="3"/>
      <c r="G63" s="4"/>
      <c r="Q63" s="28" t="str">
        <f t="shared" si="6"/>
        <v/>
      </c>
      <c r="R63" s="29">
        <f t="shared" si="1"/>
        <v>0</v>
      </c>
      <c r="S63" s="29">
        <f t="shared" si="7"/>
        <v>66</v>
      </c>
      <c r="T63" s="29" t="str">
        <f t="shared" si="2"/>
        <v/>
      </c>
      <c r="U63" s="29" t="str">
        <f t="shared" si="8"/>
        <v/>
      </c>
    </row>
    <row r="64" ht="12.75" customHeight="1">
      <c r="C64" s="3"/>
      <c r="D64" s="3"/>
      <c r="E64" s="3"/>
      <c r="F64" s="3"/>
      <c r="G64" s="4"/>
      <c r="Q64" s="28" t="str">
        <f t="shared" si="6"/>
        <v/>
      </c>
      <c r="R64" s="29">
        <f t="shared" si="1"/>
        <v>0</v>
      </c>
      <c r="S64" s="29">
        <f t="shared" si="7"/>
        <v>66</v>
      </c>
      <c r="T64" s="29" t="str">
        <f t="shared" si="2"/>
        <v/>
      </c>
      <c r="U64" s="29" t="str">
        <f t="shared" si="8"/>
        <v/>
      </c>
    </row>
    <row r="65" ht="12.75" customHeight="1">
      <c r="C65" s="3"/>
      <c r="D65" s="3"/>
      <c r="E65" s="3"/>
      <c r="F65" s="3"/>
      <c r="G65" s="4"/>
      <c r="Q65" s="28" t="str">
        <f t="shared" si="6"/>
        <v/>
      </c>
      <c r="R65" s="29">
        <f t="shared" si="1"/>
        <v>0</v>
      </c>
      <c r="S65" s="29">
        <f t="shared" si="7"/>
        <v>66</v>
      </c>
      <c r="T65" s="29" t="str">
        <f t="shared" si="2"/>
        <v/>
      </c>
      <c r="U65" s="29" t="str">
        <f t="shared" si="8"/>
        <v/>
      </c>
    </row>
    <row r="66" ht="12.75" customHeight="1">
      <c r="C66" s="3"/>
      <c r="D66" s="3"/>
      <c r="E66" s="3"/>
      <c r="F66" s="3"/>
      <c r="G66" s="4"/>
      <c r="Q66" s="28" t="str">
        <f t="shared" si="6"/>
        <v/>
      </c>
      <c r="R66" s="29">
        <f t="shared" si="1"/>
        <v>0</v>
      </c>
      <c r="S66" s="29">
        <f t="shared" si="7"/>
        <v>66</v>
      </c>
      <c r="T66" s="29" t="str">
        <f t="shared" si="2"/>
        <v/>
      </c>
      <c r="U66" s="29" t="str">
        <f t="shared" si="8"/>
        <v/>
      </c>
    </row>
    <row r="67" ht="12.75" customHeight="1">
      <c r="C67" s="3"/>
      <c r="D67" s="3"/>
      <c r="E67" s="3"/>
      <c r="F67" s="3"/>
      <c r="G67" s="4"/>
      <c r="Q67" s="28" t="str">
        <f t="shared" si="6"/>
        <v/>
      </c>
      <c r="R67" s="29">
        <f t="shared" si="1"/>
        <v>0</v>
      </c>
      <c r="S67" s="29">
        <f t="shared" si="7"/>
        <v>66</v>
      </c>
      <c r="T67" s="29" t="str">
        <f t="shared" si="2"/>
        <v/>
      </c>
      <c r="U67" s="29" t="str">
        <f t="shared" si="8"/>
        <v/>
      </c>
    </row>
    <row r="68" ht="12.75" customHeight="1">
      <c r="C68" s="3"/>
      <c r="D68" s="3"/>
      <c r="E68" s="3"/>
      <c r="F68" s="3"/>
      <c r="G68" s="4"/>
      <c r="Q68" s="28" t="str">
        <f t="shared" si="6"/>
        <v/>
      </c>
      <c r="R68" s="29">
        <f t="shared" si="1"/>
        <v>0</v>
      </c>
      <c r="S68" s="29">
        <f t="shared" si="7"/>
        <v>66</v>
      </c>
      <c r="T68" s="29" t="str">
        <f t="shared" si="2"/>
        <v/>
      </c>
      <c r="U68" s="29" t="str">
        <f t="shared" si="8"/>
        <v/>
      </c>
    </row>
    <row r="69" ht="12.75" customHeight="1">
      <c r="C69" s="3"/>
      <c r="D69" s="3"/>
      <c r="E69" s="3"/>
      <c r="F69" s="3"/>
      <c r="G69" s="4"/>
      <c r="Q69" s="28" t="str">
        <f t="shared" si="6"/>
        <v/>
      </c>
      <c r="R69" s="29">
        <f t="shared" si="1"/>
        <v>0</v>
      </c>
      <c r="S69" s="29">
        <f t="shared" si="7"/>
        <v>66</v>
      </c>
      <c r="T69" s="29" t="str">
        <f t="shared" si="2"/>
        <v/>
      </c>
      <c r="U69" s="29" t="str">
        <f t="shared" si="8"/>
        <v/>
      </c>
    </row>
    <row r="70" ht="12.75" customHeight="1">
      <c r="C70" s="3"/>
      <c r="D70" s="3"/>
      <c r="E70" s="3"/>
      <c r="F70" s="3"/>
      <c r="G70" s="4"/>
      <c r="Q70" s="28" t="str">
        <f t="shared" si="6"/>
        <v/>
      </c>
      <c r="R70" s="29">
        <f t="shared" si="1"/>
        <v>0</v>
      </c>
      <c r="S70" s="29">
        <f t="shared" si="7"/>
        <v>66</v>
      </c>
      <c r="T70" s="29" t="str">
        <f t="shared" si="2"/>
        <v/>
      </c>
      <c r="U70" s="29" t="str">
        <f t="shared" si="8"/>
        <v/>
      </c>
    </row>
    <row r="71" ht="12.75" customHeight="1">
      <c r="C71" s="3"/>
      <c r="D71" s="3"/>
      <c r="E71" s="3"/>
      <c r="F71" s="3"/>
      <c r="G71" s="4"/>
      <c r="Q71" s="28" t="str">
        <f t="shared" si="6"/>
        <v/>
      </c>
      <c r="R71" s="29">
        <f t="shared" si="1"/>
        <v>0</v>
      </c>
      <c r="S71" s="29">
        <f t="shared" si="7"/>
        <v>66</v>
      </c>
      <c r="T71" s="29" t="str">
        <f t="shared" si="2"/>
        <v/>
      </c>
      <c r="U71" s="29" t="str">
        <f t="shared" si="8"/>
        <v/>
      </c>
    </row>
    <row r="72" ht="12.75" customHeight="1">
      <c r="C72" s="3"/>
      <c r="D72" s="3"/>
      <c r="E72" s="3"/>
      <c r="F72" s="3"/>
      <c r="G72" s="4"/>
      <c r="Q72" s="28" t="str">
        <f t="shared" si="6"/>
        <v/>
      </c>
      <c r="R72" s="29">
        <f t="shared" si="1"/>
        <v>0</v>
      </c>
      <c r="S72" s="29">
        <f t="shared" si="7"/>
        <v>66</v>
      </c>
      <c r="T72" s="29" t="str">
        <f t="shared" si="2"/>
        <v/>
      </c>
      <c r="U72" s="29" t="str">
        <f t="shared" si="8"/>
        <v/>
      </c>
    </row>
    <row r="73" ht="12.75" customHeight="1">
      <c r="C73" s="3"/>
      <c r="D73" s="3"/>
      <c r="E73" s="3"/>
      <c r="F73" s="3"/>
      <c r="G73" s="4"/>
      <c r="Q73" s="28" t="str">
        <f t="shared" si="6"/>
        <v/>
      </c>
      <c r="R73" s="29">
        <f t="shared" si="1"/>
        <v>0</v>
      </c>
      <c r="S73" s="29">
        <f t="shared" si="7"/>
        <v>66</v>
      </c>
      <c r="T73" s="29" t="str">
        <f t="shared" si="2"/>
        <v/>
      </c>
      <c r="U73" s="29" t="str">
        <f t="shared" si="8"/>
        <v/>
      </c>
    </row>
    <row r="74" ht="12.75" customHeight="1">
      <c r="C74" s="3"/>
      <c r="D74" s="3"/>
      <c r="E74" s="3"/>
      <c r="F74" s="3"/>
      <c r="G74" s="4"/>
      <c r="Q74" s="28" t="str">
        <f t="shared" si="6"/>
        <v/>
      </c>
      <c r="R74" s="29">
        <f t="shared" si="1"/>
        <v>0</v>
      </c>
      <c r="S74" s="29">
        <f t="shared" si="7"/>
        <v>66</v>
      </c>
      <c r="T74" s="29" t="str">
        <f t="shared" si="2"/>
        <v/>
      </c>
      <c r="U74" s="29" t="str">
        <f t="shared" si="8"/>
        <v/>
      </c>
    </row>
    <row r="75" ht="12.75" customHeight="1">
      <c r="C75" s="3"/>
      <c r="D75" s="3"/>
      <c r="E75" s="3"/>
      <c r="F75" s="3"/>
      <c r="G75" s="4"/>
      <c r="Q75" s="28" t="str">
        <f t="shared" si="6"/>
        <v/>
      </c>
      <c r="R75" s="29">
        <f t="shared" si="1"/>
        <v>0</v>
      </c>
      <c r="S75" s="29">
        <f t="shared" si="7"/>
        <v>66</v>
      </c>
      <c r="T75" s="29" t="str">
        <f t="shared" si="2"/>
        <v/>
      </c>
      <c r="U75" s="29" t="str">
        <f t="shared" si="8"/>
        <v/>
      </c>
    </row>
    <row r="76" ht="12.75" customHeight="1">
      <c r="C76" s="3"/>
      <c r="D76" s="3"/>
      <c r="E76" s="3"/>
      <c r="F76" s="3"/>
      <c r="G76" s="4"/>
      <c r="Q76" s="28" t="str">
        <f t="shared" si="6"/>
        <v/>
      </c>
      <c r="R76" s="29">
        <f t="shared" si="1"/>
        <v>0</v>
      </c>
      <c r="S76" s="29">
        <f t="shared" si="7"/>
        <v>66</v>
      </c>
      <c r="T76" s="29" t="str">
        <f t="shared" si="2"/>
        <v/>
      </c>
      <c r="U76" s="29" t="str">
        <f t="shared" si="8"/>
        <v/>
      </c>
    </row>
    <row r="77" ht="12.75" customHeight="1">
      <c r="C77" s="3"/>
      <c r="D77" s="3"/>
      <c r="E77" s="3"/>
      <c r="F77" s="3"/>
      <c r="G77" s="4"/>
      <c r="Q77" s="28" t="str">
        <f t="shared" si="6"/>
        <v/>
      </c>
      <c r="R77" s="29">
        <f t="shared" si="1"/>
        <v>0</v>
      </c>
      <c r="S77" s="29">
        <f t="shared" si="7"/>
        <v>66</v>
      </c>
      <c r="T77" s="29" t="str">
        <f t="shared" si="2"/>
        <v/>
      </c>
      <c r="U77" s="29" t="str">
        <f t="shared" si="8"/>
        <v/>
      </c>
    </row>
    <row r="78" ht="12.75" customHeight="1">
      <c r="C78" s="3"/>
      <c r="D78" s="3"/>
      <c r="E78" s="3"/>
      <c r="F78" s="3"/>
      <c r="G78" s="4"/>
      <c r="Q78" s="28" t="str">
        <f t="shared" si="6"/>
        <v/>
      </c>
      <c r="R78" s="29">
        <f t="shared" si="1"/>
        <v>0</v>
      </c>
      <c r="S78" s="29">
        <f t="shared" si="7"/>
        <v>66</v>
      </c>
      <c r="T78" s="29" t="str">
        <f t="shared" si="2"/>
        <v/>
      </c>
      <c r="U78" s="29" t="str">
        <f t="shared" si="8"/>
        <v/>
      </c>
    </row>
    <row r="79" ht="12.75" customHeight="1">
      <c r="C79" s="3"/>
      <c r="D79" s="3"/>
      <c r="E79" s="3"/>
      <c r="F79" s="3"/>
      <c r="G79" s="4"/>
      <c r="Q79" s="28" t="str">
        <f t="shared" si="6"/>
        <v/>
      </c>
      <c r="R79" s="29">
        <f t="shared" si="1"/>
        <v>0</v>
      </c>
      <c r="S79" s="29">
        <f t="shared" si="7"/>
        <v>66</v>
      </c>
      <c r="T79" s="29" t="str">
        <f t="shared" si="2"/>
        <v/>
      </c>
      <c r="U79" s="29" t="str">
        <f t="shared" si="8"/>
        <v/>
      </c>
    </row>
    <row r="80" ht="12.75" customHeight="1">
      <c r="C80" s="3"/>
      <c r="D80" s="3"/>
      <c r="E80" s="3"/>
      <c r="F80" s="3"/>
      <c r="G80" s="4"/>
      <c r="Q80" s="28" t="str">
        <f t="shared" si="6"/>
        <v/>
      </c>
      <c r="R80" s="29">
        <f t="shared" si="1"/>
        <v>0</v>
      </c>
      <c r="S80" s="29">
        <f t="shared" si="7"/>
        <v>66</v>
      </c>
      <c r="T80" s="29" t="str">
        <f t="shared" si="2"/>
        <v/>
      </c>
      <c r="U80" s="29" t="str">
        <f t="shared" si="8"/>
        <v/>
      </c>
    </row>
    <row r="81" ht="12.75" customHeight="1">
      <c r="C81" s="3"/>
      <c r="D81" s="3"/>
      <c r="E81" s="3"/>
      <c r="F81" s="3"/>
      <c r="G81" s="4"/>
      <c r="Q81" s="28" t="str">
        <f t="shared" si="6"/>
        <v/>
      </c>
      <c r="R81" s="29">
        <f t="shared" si="1"/>
        <v>0</v>
      </c>
      <c r="S81" s="29">
        <f t="shared" si="7"/>
        <v>66</v>
      </c>
      <c r="T81" s="29" t="str">
        <f t="shared" si="2"/>
        <v/>
      </c>
      <c r="U81" s="29" t="str">
        <f t="shared" si="8"/>
        <v/>
      </c>
    </row>
    <row r="82" ht="12.75" customHeight="1">
      <c r="C82" s="3"/>
      <c r="D82" s="3"/>
      <c r="E82" s="3"/>
      <c r="F82" s="3"/>
      <c r="G82" s="4"/>
      <c r="Q82" s="28" t="str">
        <f t="shared" si="6"/>
        <v/>
      </c>
      <c r="R82" s="29">
        <f t="shared" si="1"/>
        <v>0</v>
      </c>
      <c r="S82" s="29">
        <f t="shared" si="7"/>
        <v>66</v>
      </c>
      <c r="T82" s="29" t="str">
        <f t="shared" si="2"/>
        <v/>
      </c>
      <c r="U82" s="29" t="str">
        <f t="shared" si="8"/>
        <v/>
      </c>
    </row>
    <row r="83" ht="12.75" customHeight="1">
      <c r="C83" s="3"/>
      <c r="D83" s="3"/>
      <c r="E83" s="3"/>
      <c r="F83" s="3"/>
      <c r="G83" s="4"/>
      <c r="Q83" s="28" t="str">
        <f t="shared" si="6"/>
        <v/>
      </c>
      <c r="R83" s="29">
        <f t="shared" si="1"/>
        <v>0</v>
      </c>
      <c r="S83" s="29">
        <f t="shared" si="7"/>
        <v>66</v>
      </c>
      <c r="T83" s="29" t="str">
        <f t="shared" si="2"/>
        <v/>
      </c>
      <c r="U83" s="29" t="str">
        <f t="shared" si="8"/>
        <v/>
      </c>
    </row>
    <row r="84" ht="12.75" customHeight="1">
      <c r="C84" s="3"/>
      <c r="D84" s="3"/>
      <c r="E84" s="3"/>
      <c r="F84" s="3"/>
      <c r="G84" s="4"/>
      <c r="Q84" s="28" t="str">
        <f t="shared" si="6"/>
        <v/>
      </c>
      <c r="R84" s="29">
        <f t="shared" si="1"/>
        <v>0</v>
      </c>
      <c r="S84" s="29">
        <f t="shared" si="7"/>
        <v>66</v>
      </c>
      <c r="T84" s="29" t="str">
        <f t="shared" si="2"/>
        <v/>
      </c>
      <c r="U84" s="29" t="str">
        <f t="shared" si="8"/>
        <v/>
      </c>
    </row>
    <row r="85" ht="12.75" customHeight="1">
      <c r="C85" s="3"/>
      <c r="D85" s="3"/>
      <c r="E85" s="3"/>
      <c r="F85" s="3"/>
      <c r="G85" s="4"/>
      <c r="Q85" s="28" t="str">
        <f t="shared" si="6"/>
        <v/>
      </c>
      <c r="R85" s="29">
        <f t="shared" si="1"/>
        <v>0</v>
      </c>
      <c r="S85" s="29">
        <f t="shared" si="7"/>
        <v>66</v>
      </c>
      <c r="T85" s="29" t="str">
        <f t="shared" si="2"/>
        <v/>
      </c>
      <c r="U85" s="29" t="str">
        <f t="shared" si="8"/>
        <v/>
      </c>
    </row>
    <row r="86" ht="12.75" customHeight="1">
      <c r="C86" s="3"/>
      <c r="D86" s="3"/>
      <c r="E86" s="3"/>
      <c r="F86" s="3"/>
      <c r="G86" s="4"/>
      <c r="Q86" s="28" t="str">
        <f t="shared" si="6"/>
        <v/>
      </c>
      <c r="R86" s="29">
        <f t="shared" si="1"/>
        <v>0</v>
      </c>
      <c r="S86" s="29">
        <f t="shared" si="7"/>
        <v>66</v>
      </c>
      <c r="T86" s="29" t="str">
        <f t="shared" si="2"/>
        <v/>
      </c>
      <c r="U86" s="29" t="str">
        <f t="shared" si="8"/>
        <v/>
      </c>
    </row>
    <row r="87" ht="12.75" customHeight="1">
      <c r="C87" s="3"/>
      <c r="D87" s="3"/>
      <c r="E87" s="3"/>
      <c r="F87" s="3"/>
      <c r="G87" s="4"/>
      <c r="Q87" s="28" t="str">
        <f t="shared" si="6"/>
        <v/>
      </c>
      <c r="R87" s="29">
        <f t="shared" si="1"/>
        <v>0</v>
      </c>
      <c r="S87" s="29">
        <f t="shared" si="7"/>
        <v>66</v>
      </c>
      <c r="T87" s="29" t="str">
        <f t="shared" si="2"/>
        <v/>
      </c>
      <c r="U87" s="29" t="str">
        <f t="shared" si="8"/>
        <v/>
      </c>
    </row>
    <row r="88" ht="12.75" customHeight="1">
      <c r="C88" s="3"/>
      <c r="D88" s="3"/>
      <c r="E88" s="3"/>
      <c r="F88" s="3"/>
      <c r="G88" s="4"/>
      <c r="Q88" s="28" t="str">
        <f t="shared" si="6"/>
        <v/>
      </c>
      <c r="R88" s="29">
        <f t="shared" si="1"/>
        <v>0</v>
      </c>
      <c r="S88" s="29">
        <f t="shared" si="7"/>
        <v>66</v>
      </c>
      <c r="T88" s="29" t="str">
        <f t="shared" si="2"/>
        <v/>
      </c>
      <c r="U88" s="29" t="str">
        <f t="shared" si="8"/>
        <v/>
      </c>
    </row>
    <row r="89" ht="12.75" customHeight="1">
      <c r="C89" s="3"/>
      <c r="D89" s="3"/>
      <c r="E89" s="3"/>
      <c r="F89" s="3"/>
      <c r="G89" s="4"/>
      <c r="Q89" s="28" t="str">
        <f t="shared" si="6"/>
        <v/>
      </c>
      <c r="R89" s="29">
        <f t="shared" si="1"/>
        <v>0</v>
      </c>
      <c r="S89" s="29">
        <f t="shared" si="7"/>
        <v>66</v>
      </c>
      <c r="T89" s="29" t="str">
        <f t="shared" si="2"/>
        <v/>
      </c>
      <c r="U89" s="29" t="str">
        <f t="shared" si="8"/>
        <v/>
      </c>
    </row>
    <row r="90" ht="12.75" customHeight="1">
      <c r="C90" s="3"/>
      <c r="D90" s="3"/>
      <c r="E90" s="3"/>
      <c r="F90" s="3"/>
      <c r="G90" s="4"/>
      <c r="Q90" s="28" t="str">
        <f t="shared" si="6"/>
        <v/>
      </c>
      <c r="R90" s="29">
        <f t="shared" si="1"/>
        <v>0</v>
      </c>
      <c r="S90" s="29">
        <f t="shared" si="7"/>
        <v>66</v>
      </c>
      <c r="T90" s="29" t="str">
        <f t="shared" si="2"/>
        <v/>
      </c>
      <c r="U90" s="29" t="str">
        <f t="shared" si="8"/>
        <v/>
      </c>
    </row>
    <row r="91" ht="12.75" customHeight="1">
      <c r="C91" s="3"/>
      <c r="D91" s="3"/>
      <c r="E91" s="3"/>
      <c r="F91" s="3"/>
      <c r="G91" s="4"/>
      <c r="Q91" s="28" t="str">
        <f t="shared" si="6"/>
        <v/>
      </c>
      <c r="R91" s="29">
        <f t="shared" si="1"/>
        <v>0</v>
      </c>
      <c r="S91" s="29">
        <f t="shared" si="7"/>
        <v>66</v>
      </c>
      <c r="T91" s="29" t="str">
        <f t="shared" si="2"/>
        <v/>
      </c>
      <c r="U91" s="29" t="str">
        <f t="shared" si="8"/>
        <v/>
      </c>
    </row>
    <row r="92" ht="12.75" customHeight="1">
      <c r="C92" s="3"/>
      <c r="D92" s="3"/>
      <c r="E92" s="3"/>
      <c r="F92" s="3"/>
      <c r="G92" s="4"/>
      <c r="Q92" s="28" t="str">
        <f t="shared" si="6"/>
        <v/>
      </c>
      <c r="R92" s="29">
        <f t="shared" si="1"/>
        <v>0</v>
      </c>
      <c r="S92" s="29">
        <f t="shared" si="7"/>
        <v>66</v>
      </c>
      <c r="T92" s="29" t="str">
        <f t="shared" si="2"/>
        <v/>
      </c>
      <c r="U92" s="29" t="str">
        <f t="shared" si="8"/>
        <v/>
      </c>
    </row>
    <row r="93" ht="12.75" customHeight="1">
      <c r="C93" s="3"/>
      <c r="D93" s="3"/>
      <c r="E93" s="3"/>
      <c r="F93" s="3"/>
      <c r="G93" s="4"/>
      <c r="Q93" s="28" t="str">
        <f t="shared" si="6"/>
        <v/>
      </c>
      <c r="R93" s="29">
        <f t="shared" si="1"/>
        <v>0</v>
      </c>
      <c r="S93" s="29">
        <f t="shared" si="7"/>
        <v>66</v>
      </c>
      <c r="T93" s="29" t="str">
        <f t="shared" si="2"/>
        <v/>
      </c>
      <c r="U93" s="29" t="str">
        <f t="shared" si="8"/>
        <v/>
      </c>
    </row>
    <row r="94" ht="12.75" customHeight="1">
      <c r="C94" s="3"/>
      <c r="D94" s="3"/>
      <c r="E94" s="3"/>
      <c r="F94" s="3"/>
      <c r="G94" s="4"/>
      <c r="Q94" s="28" t="str">
        <f t="shared" si="6"/>
        <v/>
      </c>
      <c r="R94" s="29">
        <f t="shared" si="1"/>
        <v>0</v>
      </c>
      <c r="S94" s="29">
        <f t="shared" si="7"/>
        <v>66</v>
      </c>
      <c r="T94" s="29" t="str">
        <f t="shared" si="2"/>
        <v/>
      </c>
      <c r="U94" s="29" t="str">
        <f t="shared" si="8"/>
        <v/>
      </c>
    </row>
    <row r="95" ht="12.75" customHeight="1">
      <c r="C95" s="3"/>
      <c r="D95" s="3"/>
      <c r="E95" s="3"/>
      <c r="F95" s="3"/>
      <c r="G95" s="4"/>
      <c r="Q95" s="28" t="str">
        <f t="shared" si="6"/>
        <v/>
      </c>
      <c r="R95" s="29">
        <f t="shared" si="1"/>
        <v>0</v>
      </c>
      <c r="S95" s="29">
        <f t="shared" si="7"/>
        <v>66</v>
      </c>
      <c r="T95" s="29" t="str">
        <f t="shared" si="2"/>
        <v/>
      </c>
      <c r="U95" s="29" t="str">
        <f t="shared" si="8"/>
        <v/>
      </c>
    </row>
    <row r="96" ht="12.75" customHeight="1">
      <c r="C96" s="3"/>
      <c r="D96" s="3"/>
      <c r="E96" s="3"/>
      <c r="F96" s="3"/>
      <c r="G96" s="4"/>
      <c r="Q96" s="28" t="str">
        <f t="shared" si="6"/>
        <v/>
      </c>
      <c r="R96" s="29">
        <f t="shared" si="1"/>
        <v>0</v>
      </c>
      <c r="S96" s="29">
        <f t="shared" si="7"/>
        <v>66</v>
      </c>
      <c r="T96" s="29" t="str">
        <f t="shared" si="2"/>
        <v/>
      </c>
      <c r="U96" s="29" t="str">
        <f t="shared" si="8"/>
        <v/>
      </c>
    </row>
    <row r="97" ht="12.75" customHeight="1">
      <c r="C97" s="3"/>
      <c r="D97" s="3"/>
      <c r="E97" s="3"/>
      <c r="F97" s="3"/>
      <c r="G97" s="4"/>
      <c r="Q97" s="28" t="str">
        <f t="shared" si="6"/>
        <v/>
      </c>
      <c r="R97" s="29">
        <f t="shared" si="1"/>
        <v>0</v>
      </c>
      <c r="S97" s="29">
        <f t="shared" si="7"/>
        <v>66</v>
      </c>
      <c r="T97" s="29" t="str">
        <f t="shared" si="2"/>
        <v/>
      </c>
      <c r="U97" s="29" t="str">
        <f t="shared" si="8"/>
        <v/>
      </c>
    </row>
    <row r="98" ht="12.75" customHeight="1">
      <c r="C98" s="3"/>
      <c r="D98" s="3"/>
      <c r="E98" s="3"/>
      <c r="F98" s="3"/>
      <c r="G98" s="4"/>
      <c r="Q98" s="28" t="str">
        <f t="shared" si="6"/>
        <v/>
      </c>
      <c r="R98" s="29">
        <f t="shared" si="1"/>
        <v>0</v>
      </c>
      <c r="S98" s="29">
        <f t="shared" si="7"/>
        <v>66</v>
      </c>
      <c r="T98" s="29" t="str">
        <f t="shared" si="2"/>
        <v/>
      </c>
      <c r="U98" s="29" t="str">
        <f t="shared" si="8"/>
        <v/>
      </c>
    </row>
    <row r="99" ht="12.75" customHeight="1">
      <c r="C99" s="3"/>
      <c r="D99" s="3"/>
      <c r="E99" s="3"/>
      <c r="F99" s="3"/>
      <c r="G99" s="4"/>
      <c r="Q99" s="28" t="str">
        <f t="shared" si="6"/>
        <v/>
      </c>
      <c r="R99" s="29">
        <f t="shared" si="1"/>
        <v>0</v>
      </c>
      <c r="S99" s="29">
        <f t="shared" si="7"/>
        <v>66</v>
      </c>
      <c r="T99" s="29" t="str">
        <f t="shared" si="2"/>
        <v/>
      </c>
      <c r="U99" s="29" t="str">
        <f t="shared" si="8"/>
        <v/>
      </c>
    </row>
    <row r="100" ht="12.75" customHeight="1">
      <c r="C100" s="3"/>
      <c r="D100" s="3"/>
      <c r="E100" s="3"/>
      <c r="F100" s="3"/>
      <c r="G100" s="4"/>
      <c r="Q100" s="28" t="str">
        <f t="shared" si="6"/>
        <v/>
      </c>
      <c r="R100" s="29">
        <f t="shared" si="1"/>
        <v>0</v>
      </c>
      <c r="S100" s="29">
        <f t="shared" si="7"/>
        <v>66</v>
      </c>
      <c r="T100" s="29" t="str">
        <f t="shared" si="2"/>
        <v/>
      </c>
      <c r="U100" s="29" t="str">
        <f t="shared" si="8"/>
        <v/>
      </c>
    </row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F2:F100">
    <cfRule type="containsText" dxfId="3" priority="1" operator="containsText" text="Done">
      <formula>NOT(ISERROR(SEARCH(("Done"),(F2))))</formula>
    </cfRule>
  </conditionalFormatting>
  <conditionalFormatting sqref="F2:F100">
    <cfRule type="containsText" dxfId="6" priority="2" operator="containsText" text="In Progress">
      <formula>NOT(ISERROR(SEARCH(("In Progress"),(F2))))</formula>
    </cfRule>
  </conditionalFormatting>
  <conditionalFormatting sqref="F2:F100">
    <cfRule type="containsText" dxfId="7" priority="3" operator="containsText" text="To Do">
      <formula>NOT(ISERROR(SEARCH(("To Do"),(F2))))</formula>
    </cfRule>
  </conditionalFormatting>
  <dataValidations>
    <dataValidation type="list" allowBlank="1" showInputMessage="1" showErrorMessage="1" prompt="Invalid Entry - Please select a team member from the list." sqref="E2:E100">
      <formula1>"Abdullah Waleed bin Maneea,Abdullah Yousef aldhayan,Abdullah Ibrahim aloud,Fahad Ali alghubayshi"</formula1>
    </dataValidation>
    <dataValidation type="list" allowBlank="1" showInputMessage="1" showErrorMessage="1" prompt="Invalid Entry - Please select: To Do, In Progress, or Done." sqref="F2:F100">
      <formula1>"To Do,In Progress,Done"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59.88"/>
    <col customWidth="1" min="3" max="9" width="12.75"/>
    <col customWidth="1" min="10" max="10" width="12.38"/>
    <col customWidth="1" min="11" max="11" width="13.38"/>
    <col customWidth="1" min="12" max="12" width="16.75"/>
    <col customWidth="1" min="13" max="13" width="12.38"/>
    <col customWidth="1" min="14" max="14" width="13.38"/>
    <col customWidth="1" min="15" max="15" width="16.75"/>
    <col customWidth="1" min="16" max="17" width="12.75"/>
    <col customWidth="1" min="18" max="18" width="20.0"/>
    <col customWidth="1" min="19" max="19" width="19.38"/>
    <col customWidth="1" min="20" max="20" width="20.13"/>
    <col customWidth="1" min="21" max="21" width="17.13"/>
  </cols>
  <sheetData>
    <row r="1" ht="15.75" customHeight="1">
      <c r="A1" s="3" t="s">
        <v>15</v>
      </c>
      <c r="B1" s="13" t="s">
        <v>137</v>
      </c>
      <c r="C1" s="13" t="s">
        <v>138</v>
      </c>
      <c r="D1" s="13" t="s">
        <v>139</v>
      </c>
      <c r="E1" s="13" t="s">
        <v>140</v>
      </c>
      <c r="F1" s="13" t="s">
        <v>20</v>
      </c>
      <c r="G1" s="1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  <c r="U1" s="3" t="s">
        <v>146</v>
      </c>
    </row>
    <row r="2" ht="15.75" customHeight="1">
      <c r="A2" s="3" t="s">
        <v>93</v>
      </c>
      <c r="B2" s="3" t="s">
        <v>174</v>
      </c>
      <c r="C2" s="9">
        <v>10.0</v>
      </c>
      <c r="D2" s="3">
        <v>10.0</v>
      </c>
      <c r="E2" s="3" t="s">
        <v>3</v>
      </c>
      <c r="F2" s="3" t="s">
        <v>26</v>
      </c>
      <c r="G2" s="14">
        <v>46100.0</v>
      </c>
      <c r="H2" s="15"/>
      <c r="I2" s="16" t="s">
        <v>148</v>
      </c>
      <c r="J2" s="16">
        <v>3.0</v>
      </c>
      <c r="L2" s="17" t="s">
        <v>140</v>
      </c>
      <c r="M2" s="17" t="s">
        <v>149</v>
      </c>
      <c r="N2" s="17" t="s">
        <v>150</v>
      </c>
      <c r="O2" s="17" t="s">
        <v>151</v>
      </c>
      <c r="Q2" s="14">
        <f>J3</f>
        <v>46100</v>
      </c>
      <c r="R2" s="9">
        <f t="shared" ref="R2:R100" si="1">SUMIFS($C$2:$C$100,$G$2:$G$100,Q2,$F$2:$F$100,"Done")</f>
        <v>10</v>
      </c>
      <c r="S2" s="9">
        <f>R2</f>
        <v>10</v>
      </c>
      <c r="T2" s="18">
        <f t="shared" ref="T2:T100" si="2">IF(AND(ISNUMBER(Q2),Q2&lt;=TODAY()),$M$10-S2,"")</f>
        <v>88</v>
      </c>
      <c r="U2" s="9">
        <f>$M$10</f>
        <v>98</v>
      </c>
    </row>
    <row r="3" ht="15.75" customHeight="1">
      <c r="A3" s="9" t="s">
        <v>105</v>
      </c>
      <c r="B3" s="9" t="s">
        <v>175</v>
      </c>
      <c r="C3" s="9">
        <v>8.0</v>
      </c>
      <c r="D3" s="29">
        <v>8.0</v>
      </c>
      <c r="E3" s="3" t="s">
        <v>3</v>
      </c>
      <c r="F3" s="3" t="s">
        <v>26</v>
      </c>
      <c r="G3" s="14">
        <v>46101.0</v>
      </c>
      <c r="H3" s="3"/>
      <c r="I3" s="16" t="s">
        <v>153</v>
      </c>
      <c r="J3" s="19">
        <v>46100.0</v>
      </c>
      <c r="L3" s="17" t="str">
        <f>'Team Members'!A2</f>
        <v>Abdullah Waleed bin Maneea</v>
      </c>
      <c r="M3" s="17">
        <f t="shared" ref="M3:M6" si="3">SUMIF($E$2:$E$100,L3,$C$2:$C$100)</f>
        <v>26</v>
      </c>
      <c r="N3" s="20">
        <f t="shared" ref="N3:N6" si="4">SUMIFS($C$2:$C$100, $E$2:$E$100,L3,$F$2:$F$100,"Done" )</f>
        <v>26</v>
      </c>
      <c r="O3" s="21">
        <f t="shared" ref="O3:O6" si="5">IFERROR(N3/M3, 0)</f>
        <v>1</v>
      </c>
      <c r="Q3" s="14">
        <f t="shared" ref="Q3:Q100" si="6">IF(ISNUMBER(Q2),IF(Q2-$J$3&lt;$J$4,Q2+1,""),"")</f>
        <v>46101</v>
      </c>
      <c r="R3" s="9">
        <f t="shared" si="1"/>
        <v>8</v>
      </c>
      <c r="S3" s="9">
        <f t="shared" ref="S3:S100" si="7">SUM($R$2:R3)</f>
        <v>18</v>
      </c>
      <c r="T3" s="18">
        <f t="shared" si="2"/>
        <v>80</v>
      </c>
      <c r="U3" s="22">
        <f t="shared" ref="U3:U100" si="8">IF(ISNUMBER(Q3),MAX(U2-$J$5,0),"")</f>
        <v>91</v>
      </c>
    </row>
    <row r="4" ht="15.75" customHeight="1">
      <c r="A4" s="9" t="s">
        <v>125</v>
      </c>
      <c r="B4" s="9" t="s">
        <v>176</v>
      </c>
      <c r="C4" s="9">
        <v>8.0</v>
      </c>
      <c r="D4" s="29">
        <v>8.0</v>
      </c>
      <c r="E4" s="3" t="s">
        <v>3</v>
      </c>
      <c r="F4" s="3" t="s">
        <v>26</v>
      </c>
      <c r="G4" s="14">
        <v>46102.0</v>
      </c>
      <c r="H4" s="3"/>
      <c r="I4" s="16" t="s">
        <v>155</v>
      </c>
      <c r="J4" s="16">
        <v>14.0</v>
      </c>
      <c r="L4" s="17" t="str">
        <f>'Team Members'!A3</f>
        <v>Abdullah Yousef aldhayan</v>
      </c>
      <c r="M4" s="17">
        <f t="shared" si="3"/>
        <v>24</v>
      </c>
      <c r="N4" s="20">
        <f t="shared" si="4"/>
        <v>24</v>
      </c>
      <c r="O4" s="21">
        <f t="shared" si="5"/>
        <v>1</v>
      </c>
      <c r="Q4" s="14">
        <f t="shared" si="6"/>
        <v>46102</v>
      </c>
      <c r="R4" s="9">
        <f t="shared" si="1"/>
        <v>8</v>
      </c>
      <c r="S4" s="9">
        <f t="shared" si="7"/>
        <v>26</v>
      </c>
      <c r="T4" s="18">
        <f t="shared" si="2"/>
        <v>72</v>
      </c>
      <c r="U4" s="22">
        <f t="shared" si="8"/>
        <v>84</v>
      </c>
    </row>
    <row r="5" ht="15.75" customHeight="1">
      <c r="A5" s="9" t="s">
        <v>97</v>
      </c>
      <c r="B5" s="9" t="s">
        <v>177</v>
      </c>
      <c r="C5" s="9">
        <v>8.0</v>
      </c>
      <c r="D5" s="29">
        <v>8.0</v>
      </c>
      <c r="E5" s="3" t="s">
        <v>5</v>
      </c>
      <c r="F5" s="3" t="s">
        <v>26</v>
      </c>
      <c r="G5" s="14">
        <v>46104.0</v>
      </c>
      <c r="H5" s="3"/>
      <c r="I5" s="16" t="s">
        <v>157</v>
      </c>
      <c r="J5" s="23">
        <f>SUM($C$2:$C$100)/$J$4</f>
        <v>7</v>
      </c>
      <c r="L5" s="17" t="str">
        <f>'Team Members'!A4</f>
        <v>Abdullah Ibrahim aloud</v>
      </c>
      <c r="M5" s="17">
        <f t="shared" si="3"/>
        <v>22</v>
      </c>
      <c r="N5" s="20">
        <f t="shared" si="4"/>
        <v>22</v>
      </c>
      <c r="O5" s="21">
        <f t="shared" si="5"/>
        <v>1</v>
      </c>
      <c r="Q5" s="14">
        <f t="shared" si="6"/>
        <v>46103</v>
      </c>
      <c r="R5" s="9">
        <f t="shared" si="1"/>
        <v>0</v>
      </c>
      <c r="S5" s="9">
        <f t="shared" si="7"/>
        <v>26</v>
      </c>
      <c r="T5" s="18">
        <f t="shared" si="2"/>
        <v>72</v>
      </c>
      <c r="U5" s="22">
        <f t="shared" si="8"/>
        <v>77</v>
      </c>
    </row>
    <row r="6" ht="15.75" customHeight="1">
      <c r="A6" s="9" t="s">
        <v>109</v>
      </c>
      <c r="B6" s="9" t="s">
        <v>178</v>
      </c>
      <c r="C6" s="9">
        <v>10.0</v>
      </c>
      <c r="D6" s="29">
        <v>10.0</v>
      </c>
      <c r="E6" s="3" t="s">
        <v>5</v>
      </c>
      <c r="F6" s="3" t="s">
        <v>26</v>
      </c>
      <c r="G6" s="14">
        <v>46105.0</v>
      </c>
      <c r="H6" s="3"/>
      <c r="L6" s="17" t="str">
        <f>'Team Members'!A5</f>
        <v>Fahad Ali alghubayshi</v>
      </c>
      <c r="M6" s="17">
        <f t="shared" si="3"/>
        <v>26</v>
      </c>
      <c r="N6" s="20">
        <f t="shared" si="4"/>
        <v>26</v>
      </c>
      <c r="O6" s="21">
        <f t="shared" si="5"/>
        <v>1</v>
      </c>
      <c r="Q6" s="14">
        <f t="shared" si="6"/>
        <v>46104</v>
      </c>
      <c r="R6" s="9">
        <f t="shared" si="1"/>
        <v>8</v>
      </c>
      <c r="S6" s="9">
        <f t="shared" si="7"/>
        <v>34</v>
      </c>
      <c r="T6" s="18">
        <f t="shared" si="2"/>
        <v>64</v>
      </c>
      <c r="U6" s="22">
        <f t="shared" si="8"/>
        <v>70</v>
      </c>
    </row>
    <row r="7" ht="15.75" customHeight="1">
      <c r="A7" s="9" t="s">
        <v>133</v>
      </c>
      <c r="B7" s="9" t="s">
        <v>179</v>
      </c>
      <c r="C7" s="9">
        <v>6.0</v>
      </c>
      <c r="D7" s="29">
        <v>6.0</v>
      </c>
      <c r="E7" s="3" t="s">
        <v>5</v>
      </c>
      <c r="F7" s="3" t="s">
        <v>26</v>
      </c>
      <c r="G7" s="14">
        <v>46106.0</v>
      </c>
      <c r="H7" s="3"/>
      <c r="L7" s="17"/>
      <c r="M7" s="17"/>
      <c r="N7" s="20"/>
      <c r="O7" s="21"/>
      <c r="Q7" s="14">
        <f t="shared" si="6"/>
        <v>46105</v>
      </c>
      <c r="R7" s="9">
        <f t="shared" si="1"/>
        <v>10</v>
      </c>
      <c r="S7" s="9">
        <f t="shared" si="7"/>
        <v>44</v>
      </c>
      <c r="T7" s="18">
        <f t="shared" si="2"/>
        <v>54</v>
      </c>
      <c r="U7" s="22">
        <f t="shared" si="8"/>
        <v>63</v>
      </c>
    </row>
    <row r="8" ht="15.75" customHeight="1">
      <c r="A8" s="9" t="s">
        <v>101</v>
      </c>
      <c r="B8" s="9" t="s">
        <v>180</v>
      </c>
      <c r="C8" s="9">
        <v>6.0</v>
      </c>
      <c r="D8" s="29">
        <v>6.0</v>
      </c>
      <c r="E8" s="3" t="s">
        <v>7</v>
      </c>
      <c r="F8" s="3" t="s">
        <v>26</v>
      </c>
      <c r="G8" s="14">
        <v>46107.0</v>
      </c>
      <c r="H8" s="3"/>
      <c r="L8" s="17"/>
      <c r="M8" s="17"/>
      <c r="N8" s="20"/>
      <c r="O8" s="21"/>
      <c r="Q8" s="14">
        <f t="shared" si="6"/>
        <v>46106</v>
      </c>
      <c r="R8" s="9">
        <f t="shared" si="1"/>
        <v>6</v>
      </c>
      <c r="S8" s="9">
        <f t="shared" si="7"/>
        <v>50</v>
      </c>
      <c r="T8" s="18">
        <f t="shared" si="2"/>
        <v>48</v>
      </c>
      <c r="U8" s="22">
        <f t="shared" si="8"/>
        <v>56</v>
      </c>
    </row>
    <row r="9" ht="15.75" customHeight="1">
      <c r="A9" s="9" t="s">
        <v>113</v>
      </c>
      <c r="B9" s="9" t="s">
        <v>181</v>
      </c>
      <c r="C9" s="3">
        <v>8.0</v>
      </c>
      <c r="D9" s="3">
        <v>8.0</v>
      </c>
      <c r="E9" s="3" t="s">
        <v>7</v>
      </c>
      <c r="F9" s="3" t="s">
        <v>26</v>
      </c>
      <c r="G9" s="14">
        <v>46108.0</v>
      </c>
      <c r="M9" s="17"/>
      <c r="Q9" s="14">
        <f t="shared" si="6"/>
        <v>46107</v>
      </c>
      <c r="R9" s="9">
        <f t="shared" si="1"/>
        <v>6</v>
      </c>
      <c r="S9" s="9">
        <f t="shared" si="7"/>
        <v>56</v>
      </c>
      <c r="T9" s="18">
        <f t="shared" si="2"/>
        <v>42</v>
      </c>
      <c r="U9" s="22">
        <f t="shared" si="8"/>
        <v>49</v>
      </c>
    </row>
    <row r="10" ht="15.75" customHeight="1">
      <c r="A10" s="3" t="s">
        <v>129</v>
      </c>
      <c r="B10" s="3" t="s">
        <v>182</v>
      </c>
      <c r="C10" s="3">
        <v>8.0</v>
      </c>
      <c r="D10" s="3">
        <v>8.0</v>
      </c>
      <c r="E10" s="3" t="s">
        <v>7</v>
      </c>
      <c r="F10" s="3" t="s">
        <v>26</v>
      </c>
      <c r="G10" s="14">
        <v>46109.0</v>
      </c>
      <c r="H10" s="15"/>
      <c r="L10" s="24" t="s">
        <v>163</v>
      </c>
      <c r="M10" s="25">
        <f t="shared" ref="M10:N10" si="9">SUM(M3:M6)</f>
        <v>98</v>
      </c>
      <c r="N10" s="25">
        <f t="shared" si="9"/>
        <v>98</v>
      </c>
      <c r="O10" s="26">
        <f>IFERROR(N10/M10, 0)</f>
        <v>1</v>
      </c>
      <c r="Q10" s="14">
        <f t="shared" si="6"/>
        <v>46108</v>
      </c>
      <c r="R10" s="9">
        <f t="shared" si="1"/>
        <v>8</v>
      </c>
      <c r="S10" s="9">
        <f t="shared" si="7"/>
        <v>64</v>
      </c>
      <c r="T10" s="18">
        <f t="shared" si="2"/>
        <v>34</v>
      </c>
      <c r="U10" s="22">
        <f t="shared" si="8"/>
        <v>42</v>
      </c>
    </row>
    <row r="11" ht="15.75" customHeight="1">
      <c r="A11" s="3" t="s">
        <v>117</v>
      </c>
      <c r="B11" s="3" t="s">
        <v>183</v>
      </c>
      <c r="C11" s="3">
        <v>10.0</v>
      </c>
      <c r="D11" s="3">
        <v>10.0</v>
      </c>
      <c r="E11" s="3" t="s">
        <v>9</v>
      </c>
      <c r="F11" s="3" t="s">
        <v>26</v>
      </c>
      <c r="G11" s="14">
        <v>46111.0</v>
      </c>
      <c r="Q11" s="14">
        <f t="shared" si="6"/>
        <v>46109</v>
      </c>
      <c r="R11" s="9">
        <f t="shared" si="1"/>
        <v>8</v>
      </c>
      <c r="S11" s="9">
        <f t="shared" si="7"/>
        <v>72</v>
      </c>
      <c r="T11" s="18">
        <f t="shared" si="2"/>
        <v>26</v>
      </c>
      <c r="U11" s="22">
        <f t="shared" si="8"/>
        <v>35</v>
      </c>
    </row>
    <row r="12" ht="15.75" customHeight="1">
      <c r="A12" s="9" t="s">
        <v>121</v>
      </c>
      <c r="B12" s="9" t="s">
        <v>184</v>
      </c>
      <c r="C12" s="3">
        <v>8.0</v>
      </c>
      <c r="D12" s="3">
        <v>8.0</v>
      </c>
      <c r="E12" s="3" t="s">
        <v>9</v>
      </c>
      <c r="F12" s="3" t="s">
        <v>26</v>
      </c>
      <c r="G12" s="14">
        <v>46112.0</v>
      </c>
      <c r="Q12" s="14">
        <f t="shared" si="6"/>
        <v>46110</v>
      </c>
      <c r="R12" s="9">
        <f t="shared" si="1"/>
        <v>0</v>
      </c>
      <c r="S12" s="9">
        <f t="shared" si="7"/>
        <v>72</v>
      </c>
      <c r="T12" s="18">
        <f t="shared" si="2"/>
        <v>26</v>
      </c>
      <c r="U12" s="22">
        <f t="shared" si="8"/>
        <v>28</v>
      </c>
    </row>
    <row r="13" ht="15.75" customHeight="1">
      <c r="A13" s="9" t="s">
        <v>77</v>
      </c>
      <c r="B13" s="9" t="s">
        <v>185</v>
      </c>
      <c r="C13" s="3">
        <v>8.0</v>
      </c>
      <c r="D13" s="3">
        <v>8.0</v>
      </c>
      <c r="E13" s="3" t="s">
        <v>9</v>
      </c>
      <c r="F13" s="3" t="s">
        <v>26</v>
      </c>
      <c r="G13" s="14">
        <v>46113.0</v>
      </c>
      <c r="Q13" s="14">
        <f t="shared" si="6"/>
        <v>46111</v>
      </c>
      <c r="R13" s="9">
        <f t="shared" si="1"/>
        <v>10</v>
      </c>
      <c r="S13" s="9">
        <f t="shared" si="7"/>
        <v>82</v>
      </c>
      <c r="T13" s="18">
        <f t="shared" si="2"/>
        <v>16</v>
      </c>
      <c r="U13" s="22">
        <f t="shared" si="8"/>
        <v>21</v>
      </c>
    </row>
    <row r="14" ht="15.75" customHeight="1">
      <c r="C14" s="3"/>
      <c r="D14" s="3"/>
      <c r="E14" s="3"/>
      <c r="F14" s="3"/>
      <c r="G14" s="4"/>
      <c r="Q14" s="14">
        <f t="shared" si="6"/>
        <v>46112</v>
      </c>
      <c r="R14" s="9">
        <f t="shared" si="1"/>
        <v>8</v>
      </c>
      <c r="S14" s="9">
        <f t="shared" si="7"/>
        <v>90</v>
      </c>
      <c r="T14" s="18">
        <f t="shared" si="2"/>
        <v>8</v>
      </c>
      <c r="U14" s="22">
        <f t="shared" si="8"/>
        <v>14</v>
      </c>
    </row>
    <row r="15" ht="15.75" customHeight="1">
      <c r="C15" s="3"/>
      <c r="D15" s="3"/>
      <c r="E15" s="3"/>
      <c r="F15" s="3"/>
      <c r="G15" s="4"/>
      <c r="Q15" s="14">
        <f t="shared" si="6"/>
        <v>46113</v>
      </c>
      <c r="R15" s="9">
        <f t="shared" si="1"/>
        <v>8</v>
      </c>
      <c r="S15" s="9">
        <f t="shared" si="7"/>
        <v>98</v>
      </c>
      <c r="T15" s="18">
        <f t="shared" si="2"/>
        <v>0</v>
      </c>
      <c r="U15" s="22">
        <f t="shared" si="8"/>
        <v>7</v>
      </c>
    </row>
    <row r="16" ht="15.75" customHeight="1">
      <c r="C16" s="3"/>
      <c r="D16" s="3"/>
      <c r="E16" s="3"/>
      <c r="F16" s="3"/>
      <c r="G16" s="4"/>
      <c r="Q16" s="14">
        <f t="shared" si="6"/>
        <v>46114</v>
      </c>
      <c r="R16" s="9">
        <f t="shared" si="1"/>
        <v>0</v>
      </c>
      <c r="S16" s="9">
        <f t="shared" si="7"/>
        <v>98</v>
      </c>
      <c r="T16" s="18">
        <f t="shared" si="2"/>
        <v>0</v>
      </c>
      <c r="U16" s="22">
        <f t="shared" si="8"/>
        <v>0</v>
      </c>
    </row>
    <row r="17" ht="15.75" customHeight="1">
      <c r="C17" s="3"/>
      <c r="D17" s="3"/>
      <c r="E17" s="3"/>
      <c r="F17" s="3"/>
      <c r="G17" s="4"/>
      <c r="Q17" s="27" t="str">
        <f t="shared" si="6"/>
        <v/>
      </c>
      <c r="R17" s="9">
        <f t="shared" si="1"/>
        <v>0</v>
      </c>
      <c r="S17" s="9">
        <f t="shared" si="7"/>
        <v>98</v>
      </c>
      <c r="T17" s="18" t="str">
        <f t="shared" si="2"/>
        <v/>
      </c>
      <c r="U17" s="22" t="str">
        <f t="shared" si="8"/>
        <v/>
      </c>
    </row>
    <row r="18" ht="15.75" customHeight="1">
      <c r="C18" s="3"/>
      <c r="D18" s="3"/>
      <c r="E18" s="3"/>
      <c r="F18" s="3"/>
      <c r="G18" s="4"/>
      <c r="Q18" s="27" t="str">
        <f t="shared" si="6"/>
        <v/>
      </c>
      <c r="R18" s="9">
        <f t="shared" si="1"/>
        <v>0</v>
      </c>
      <c r="S18" s="9">
        <f t="shared" si="7"/>
        <v>98</v>
      </c>
      <c r="T18" s="18" t="str">
        <f t="shared" si="2"/>
        <v/>
      </c>
      <c r="U18" s="22" t="str">
        <f t="shared" si="8"/>
        <v/>
      </c>
    </row>
    <row r="19" ht="15.75" customHeight="1">
      <c r="C19" s="3"/>
      <c r="D19" s="3"/>
      <c r="E19" s="3"/>
      <c r="F19" s="3"/>
      <c r="G19" s="4"/>
      <c r="Q19" s="27" t="str">
        <f t="shared" si="6"/>
        <v/>
      </c>
      <c r="R19" s="9">
        <f t="shared" si="1"/>
        <v>0</v>
      </c>
      <c r="S19" s="9">
        <f t="shared" si="7"/>
        <v>98</v>
      </c>
      <c r="T19" s="18" t="str">
        <f t="shared" si="2"/>
        <v/>
      </c>
      <c r="U19" s="22" t="str">
        <f t="shared" si="8"/>
        <v/>
      </c>
    </row>
    <row r="20" ht="15.75" customHeight="1">
      <c r="C20" s="3"/>
      <c r="D20" s="3"/>
      <c r="E20" s="3"/>
      <c r="F20" s="3"/>
      <c r="G20" s="4"/>
      <c r="Q20" s="27" t="str">
        <f t="shared" si="6"/>
        <v/>
      </c>
      <c r="R20" s="9">
        <f t="shared" si="1"/>
        <v>0</v>
      </c>
      <c r="S20" s="9">
        <f t="shared" si="7"/>
        <v>98</v>
      </c>
      <c r="T20" s="18" t="str">
        <f t="shared" si="2"/>
        <v/>
      </c>
      <c r="U20" s="22" t="str">
        <f t="shared" si="8"/>
        <v/>
      </c>
    </row>
    <row r="21" ht="15.75" customHeight="1">
      <c r="C21" s="3"/>
      <c r="D21" s="3"/>
      <c r="E21" s="3"/>
      <c r="F21" s="3"/>
      <c r="G21" s="4"/>
      <c r="Q21" s="27" t="str">
        <f t="shared" si="6"/>
        <v/>
      </c>
      <c r="R21" s="9">
        <f t="shared" si="1"/>
        <v>0</v>
      </c>
      <c r="S21" s="9">
        <f t="shared" si="7"/>
        <v>98</v>
      </c>
      <c r="T21" s="18" t="str">
        <f t="shared" si="2"/>
        <v/>
      </c>
      <c r="U21" s="22" t="str">
        <f t="shared" si="8"/>
        <v/>
      </c>
    </row>
    <row r="22" ht="15.75" customHeight="1">
      <c r="C22" s="3"/>
      <c r="D22" s="3"/>
      <c r="E22" s="3"/>
      <c r="F22" s="3"/>
      <c r="G22" s="4"/>
      <c r="Q22" s="27" t="str">
        <f t="shared" si="6"/>
        <v/>
      </c>
      <c r="R22" s="9">
        <f t="shared" si="1"/>
        <v>0</v>
      </c>
      <c r="S22" s="9">
        <f t="shared" si="7"/>
        <v>98</v>
      </c>
      <c r="T22" s="18" t="str">
        <f t="shared" si="2"/>
        <v/>
      </c>
      <c r="U22" s="22" t="str">
        <f t="shared" si="8"/>
        <v/>
      </c>
    </row>
    <row r="23" ht="15.75" customHeight="1">
      <c r="C23" s="3"/>
      <c r="D23" s="3"/>
      <c r="E23" s="3"/>
      <c r="F23" s="3"/>
      <c r="G23" s="4"/>
      <c r="Q23" s="27" t="str">
        <f t="shared" si="6"/>
        <v/>
      </c>
      <c r="R23" s="9">
        <f t="shared" si="1"/>
        <v>0</v>
      </c>
      <c r="S23" s="9">
        <f t="shared" si="7"/>
        <v>98</v>
      </c>
      <c r="T23" s="18" t="str">
        <f t="shared" si="2"/>
        <v/>
      </c>
      <c r="U23" s="22" t="str">
        <f t="shared" si="8"/>
        <v/>
      </c>
    </row>
    <row r="24" ht="15.75" customHeight="1">
      <c r="C24" s="3"/>
      <c r="D24" s="3"/>
      <c r="E24" s="3"/>
      <c r="F24" s="3"/>
      <c r="G24" s="4"/>
      <c r="Q24" s="27" t="str">
        <f t="shared" si="6"/>
        <v/>
      </c>
      <c r="R24" s="9">
        <f t="shared" si="1"/>
        <v>0</v>
      </c>
      <c r="S24" s="9">
        <f t="shared" si="7"/>
        <v>98</v>
      </c>
      <c r="T24" s="18" t="str">
        <f t="shared" si="2"/>
        <v/>
      </c>
      <c r="U24" s="22" t="str">
        <f t="shared" si="8"/>
        <v/>
      </c>
    </row>
    <row r="25" ht="15.75" customHeight="1">
      <c r="C25" s="3"/>
      <c r="D25" s="3"/>
      <c r="E25" s="3"/>
      <c r="F25" s="3"/>
      <c r="G25" s="4"/>
      <c r="Q25" s="27" t="str">
        <f t="shared" si="6"/>
        <v/>
      </c>
      <c r="R25" s="9">
        <f t="shared" si="1"/>
        <v>0</v>
      </c>
      <c r="S25" s="9">
        <f t="shared" si="7"/>
        <v>98</v>
      </c>
      <c r="T25" s="18" t="str">
        <f t="shared" si="2"/>
        <v/>
      </c>
      <c r="U25" s="22" t="str">
        <f t="shared" si="8"/>
        <v/>
      </c>
    </row>
    <row r="26" ht="15.75" customHeight="1">
      <c r="C26" s="3"/>
      <c r="D26" s="3"/>
      <c r="E26" s="3"/>
      <c r="F26" s="3"/>
      <c r="G26" s="4"/>
      <c r="Q26" s="27" t="str">
        <f t="shared" si="6"/>
        <v/>
      </c>
      <c r="R26" s="9">
        <f t="shared" si="1"/>
        <v>0</v>
      </c>
      <c r="S26" s="9">
        <f t="shared" si="7"/>
        <v>98</v>
      </c>
      <c r="T26" s="18" t="str">
        <f t="shared" si="2"/>
        <v/>
      </c>
      <c r="U26" s="22" t="str">
        <f t="shared" si="8"/>
        <v/>
      </c>
    </row>
    <row r="27" ht="15.75" customHeight="1">
      <c r="C27" s="3"/>
      <c r="D27" s="3"/>
      <c r="E27" s="3"/>
      <c r="F27" s="3"/>
      <c r="G27" s="4"/>
      <c r="Q27" s="27" t="str">
        <f t="shared" si="6"/>
        <v/>
      </c>
      <c r="R27" s="9">
        <f t="shared" si="1"/>
        <v>0</v>
      </c>
      <c r="S27" s="9">
        <f t="shared" si="7"/>
        <v>98</v>
      </c>
      <c r="T27" s="18" t="str">
        <f t="shared" si="2"/>
        <v/>
      </c>
      <c r="U27" s="22" t="str">
        <f t="shared" si="8"/>
        <v/>
      </c>
    </row>
    <row r="28" ht="15.75" customHeight="1">
      <c r="C28" s="3"/>
      <c r="D28" s="3"/>
      <c r="E28" s="3"/>
      <c r="F28" s="3"/>
      <c r="G28" s="4"/>
      <c r="Q28" s="27" t="str">
        <f t="shared" si="6"/>
        <v/>
      </c>
      <c r="R28" s="9">
        <f t="shared" si="1"/>
        <v>0</v>
      </c>
      <c r="S28" s="9">
        <f t="shared" si="7"/>
        <v>98</v>
      </c>
      <c r="T28" s="18" t="str">
        <f t="shared" si="2"/>
        <v/>
      </c>
      <c r="U28" s="22" t="str">
        <f t="shared" si="8"/>
        <v/>
      </c>
    </row>
    <row r="29" ht="15.75" customHeight="1">
      <c r="C29" s="3"/>
      <c r="D29" s="3"/>
      <c r="E29" s="3"/>
      <c r="F29" s="3"/>
      <c r="G29" s="4"/>
      <c r="Q29" s="27" t="str">
        <f t="shared" si="6"/>
        <v/>
      </c>
      <c r="R29" s="9">
        <f t="shared" si="1"/>
        <v>0</v>
      </c>
      <c r="S29" s="9">
        <f t="shared" si="7"/>
        <v>98</v>
      </c>
      <c r="T29" s="18" t="str">
        <f t="shared" si="2"/>
        <v/>
      </c>
      <c r="U29" s="22" t="str">
        <f t="shared" si="8"/>
        <v/>
      </c>
    </row>
    <row r="30" ht="15.75" customHeight="1">
      <c r="C30" s="3"/>
      <c r="D30" s="3"/>
      <c r="E30" s="3"/>
      <c r="F30" s="3"/>
      <c r="G30" s="4"/>
      <c r="Q30" s="27" t="str">
        <f t="shared" si="6"/>
        <v/>
      </c>
      <c r="R30" s="9">
        <f t="shared" si="1"/>
        <v>0</v>
      </c>
      <c r="S30" s="9">
        <f t="shared" si="7"/>
        <v>98</v>
      </c>
      <c r="T30" s="18" t="str">
        <f t="shared" si="2"/>
        <v/>
      </c>
      <c r="U30" s="22" t="str">
        <f t="shared" si="8"/>
        <v/>
      </c>
    </row>
    <row r="31" ht="15.75" customHeight="1">
      <c r="C31" s="3"/>
      <c r="D31" s="3"/>
      <c r="E31" s="3"/>
      <c r="F31" s="3"/>
      <c r="G31" s="4"/>
      <c r="Q31" s="27" t="str">
        <f t="shared" si="6"/>
        <v/>
      </c>
      <c r="R31" s="9">
        <f t="shared" si="1"/>
        <v>0</v>
      </c>
      <c r="S31" s="9">
        <f t="shared" si="7"/>
        <v>98</v>
      </c>
      <c r="T31" s="18" t="str">
        <f t="shared" si="2"/>
        <v/>
      </c>
      <c r="U31" s="22" t="str">
        <f t="shared" si="8"/>
        <v/>
      </c>
    </row>
    <row r="32" ht="15.75" customHeight="1">
      <c r="C32" s="3"/>
      <c r="D32" s="3"/>
      <c r="E32" s="3"/>
      <c r="F32" s="3"/>
      <c r="G32" s="4"/>
      <c r="Q32" s="27" t="str">
        <f t="shared" si="6"/>
        <v/>
      </c>
      <c r="R32" s="9">
        <f t="shared" si="1"/>
        <v>0</v>
      </c>
      <c r="S32" s="9">
        <f t="shared" si="7"/>
        <v>98</v>
      </c>
      <c r="T32" s="18" t="str">
        <f t="shared" si="2"/>
        <v/>
      </c>
      <c r="U32" s="22" t="str">
        <f t="shared" si="8"/>
        <v/>
      </c>
    </row>
    <row r="33" ht="15.75" customHeight="1">
      <c r="C33" s="3"/>
      <c r="D33" s="3"/>
      <c r="E33" s="3"/>
      <c r="F33" s="3"/>
      <c r="G33" s="4"/>
      <c r="Q33" s="27" t="str">
        <f t="shared" si="6"/>
        <v/>
      </c>
      <c r="R33" s="9">
        <f t="shared" si="1"/>
        <v>0</v>
      </c>
      <c r="S33" s="9">
        <f t="shared" si="7"/>
        <v>98</v>
      </c>
      <c r="T33" s="18" t="str">
        <f t="shared" si="2"/>
        <v/>
      </c>
      <c r="U33" s="22" t="str">
        <f t="shared" si="8"/>
        <v/>
      </c>
    </row>
    <row r="34" ht="15.75" customHeight="1">
      <c r="C34" s="3"/>
      <c r="D34" s="3"/>
      <c r="E34" s="3"/>
      <c r="F34" s="3"/>
      <c r="G34" s="4"/>
      <c r="Q34" s="27" t="str">
        <f t="shared" si="6"/>
        <v/>
      </c>
      <c r="R34" s="9">
        <f t="shared" si="1"/>
        <v>0</v>
      </c>
      <c r="S34" s="9">
        <f t="shared" si="7"/>
        <v>98</v>
      </c>
      <c r="T34" s="18" t="str">
        <f t="shared" si="2"/>
        <v/>
      </c>
      <c r="U34" s="22" t="str">
        <f t="shared" si="8"/>
        <v/>
      </c>
    </row>
    <row r="35" ht="15.75" customHeight="1">
      <c r="C35" s="3"/>
      <c r="D35" s="3"/>
      <c r="E35" s="3"/>
      <c r="F35" s="3"/>
      <c r="G35" s="4"/>
      <c r="Q35" s="27" t="str">
        <f t="shared" si="6"/>
        <v/>
      </c>
      <c r="R35" s="9">
        <f t="shared" si="1"/>
        <v>0</v>
      </c>
      <c r="S35" s="9">
        <f t="shared" si="7"/>
        <v>98</v>
      </c>
      <c r="T35" s="18" t="str">
        <f t="shared" si="2"/>
        <v/>
      </c>
      <c r="U35" s="22" t="str">
        <f t="shared" si="8"/>
        <v/>
      </c>
    </row>
    <row r="36" ht="15.75" customHeight="1">
      <c r="C36" s="3"/>
      <c r="D36" s="3"/>
      <c r="E36" s="3"/>
      <c r="F36" s="3"/>
      <c r="G36" s="4"/>
      <c r="Q36" s="27" t="str">
        <f t="shared" si="6"/>
        <v/>
      </c>
      <c r="R36" s="9">
        <f t="shared" si="1"/>
        <v>0</v>
      </c>
      <c r="S36" s="9">
        <f t="shared" si="7"/>
        <v>98</v>
      </c>
      <c r="T36" s="18" t="str">
        <f t="shared" si="2"/>
        <v/>
      </c>
      <c r="U36" s="22" t="str">
        <f t="shared" si="8"/>
        <v/>
      </c>
    </row>
    <row r="37" ht="15.75" customHeight="1">
      <c r="C37" s="3"/>
      <c r="D37" s="3"/>
      <c r="E37" s="3"/>
      <c r="F37" s="3"/>
      <c r="G37" s="4"/>
      <c r="Q37" s="27" t="str">
        <f t="shared" si="6"/>
        <v/>
      </c>
      <c r="R37" s="9">
        <f t="shared" si="1"/>
        <v>0</v>
      </c>
      <c r="S37" s="9">
        <f t="shared" si="7"/>
        <v>98</v>
      </c>
      <c r="T37" s="18" t="str">
        <f t="shared" si="2"/>
        <v/>
      </c>
      <c r="U37" s="22" t="str">
        <f t="shared" si="8"/>
        <v/>
      </c>
    </row>
    <row r="38" ht="15.75" customHeight="1">
      <c r="C38" s="3"/>
      <c r="D38" s="3"/>
      <c r="E38" s="3"/>
      <c r="F38" s="3"/>
      <c r="G38" s="4"/>
      <c r="Q38" s="27" t="str">
        <f t="shared" si="6"/>
        <v/>
      </c>
      <c r="R38" s="9">
        <f t="shared" si="1"/>
        <v>0</v>
      </c>
      <c r="S38" s="9">
        <f t="shared" si="7"/>
        <v>98</v>
      </c>
      <c r="T38" s="18" t="str">
        <f t="shared" si="2"/>
        <v/>
      </c>
      <c r="U38" s="22" t="str">
        <f t="shared" si="8"/>
        <v/>
      </c>
    </row>
    <row r="39" ht="15.75" customHeight="1">
      <c r="C39" s="3"/>
      <c r="D39" s="3"/>
      <c r="E39" s="3"/>
      <c r="F39" s="3"/>
      <c r="G39" s="4"/>
      <c r="Q39" s="27" t="str">
        <f t="shared" si="6"/>
        <v/>
      </c>
      <c r="R39" s="9">
        <f t="shared" si="1"/>
        <v>0</v>
      </c>
      <c r="S39" s="9">
        <f t="shared" si="7"/>
        <v>98</v>
      </c>
      <c r="T39" s="18" t="str">
        <f t="shared" si="2"/>
        <v/>
      </c>
      <c r="U39" s="22" t="str">
        <f t="shared" si="8"/>
        <v/>
      </c>
    </row>
    <row r="40" ht="15.75" customHeight="1">
      <c r="C40" s="3"/>
      <c r="D40" s="3"/>
      <c r="E40" s="3"/>
      <c r="F40" s="3"/>
      <c r="G40" s="4"/>
      <c r="Q40" s="27" t="str">
        <f t="shared" si="6"/>
        <v/>
      </c>
      <c r="R40" s="9">
        <f t="shared" si="1"/>
        <v>0</v>
      </c>
      <c r="S40" s="9">
        <f t="shared" si="7"/>
        <v>98</v>
      </c>
      <c r="T40" s="18" t="str">
        <f t="shared" si="2"/>
        <v/>
      </c>
      <c r="U40" s="22" t="str">
        <f t="shared" si="8"/>
        <v/>
      </c>
    </row>
    <row r="41" ht="15.75" customHeight="1">
      <c r="C41" s="3"/>
      <c r="D41" s="3"/>
      <c r="E41" s="3"/>
      <c r="F41" s="3"/>
      <c r="G41" s="4"/>
      <c r="Q41" s="28" t="str">
        <f t="shared" si="6"/>
        <v/>
      </c>
      <c r="R41" s="29">
        <f t="shared" si="1"/>
        <v>0</v>
      </c>
      <c r="S41" s="29">
        <f t="shared" si="7"/>
        <v>98</v>
      </c>
      <c r="T41" s="29" t="str">
        <f t="shared" si="2"/>
        <v/>
      </c>
      <c r="U41" s="29" t="str">
        <f t="shared" si="8"/>
        <v/>
      </c>
    </row>
    <row r="42" ht="15.75" customHeight="1">
      <c r="C42" s="3"/>
      <c r="D42" s="3"/>
      <c r="E42" s="3"/>
      <c r="F42" s="3"/>
      <c r="G42" s="4"/>
      <c r="Q42" s="28" t="str">
        <f t="shared" si="6"/>
        <v/>
      </c>
      <c r="R42" s="29">
        <f t="shared" si="1"/>
        <v>0</v>
      </c>
      <c r="S42" s="29">
        <f t="shared" si="7"/>
        <v>98</v>
      </c>
      <c r="T42" s="29" t="str">
        <f t="shared" si="2"/>
        <v/>
      </c>
      <c r="U42" s="29" t="str">
        <f t="shared" si="8"/>
        <v/>
      </c>
    </row>
    <row r="43" ht="15.75" customHeight="1">
      <c r="C43" s="3"/>
      <c r="D43" s="3"/>
      <c r="E43" s="3"/>
      <c r="F43" s="3"/>
      <c r="G43" s="4"/>
      <c r="Q43" s="28" t="str">
        <f t="shared" si="6"/>
        <v/>
      </c>
      <c r="R43" s="29">
        <f t="shared" si="1"/>
        <v>0</v>
      </c>
      <c r="S43" s="29">
        <f t="shared" si="7"/>
        <v>98</v>
      </c>
      <c r="T43" s="29" t="str">
        <f t="shared" si="2"/>
        <v/>
      </c>
      <c r="U43" s="29" t="str">
        <f t="shared" si="8"/>
        <v/>
      </c>
    </row>
    <row r="44" ht="15.75" customHeight="1">
      <c r="C44" s="3"/>
      <c r="D44" s="3"/>
      <c r="E44" s="3"/>
      <c r="F44" s="3"/>
      <c r="G44" s="4"/>
      <c r="Q44" s="28" t="str">
        <f t="shared" si="6"/>
        <v/>
      </c>
      <c r="R44" s="29">
        <f t="shared" si="1"/>
        <v>0</v>
      </c>
      <c r="S44" s="29">
        <f t="shared" si="7"/>
        <v>98</v>
      </c>
      <c r="T44" s="29" t="str">
        <f t="shared" si="2"/>
        <v/>
      </c>
      <c r="U44" s="29" t="str">
        <f t="shared" si="8"/>
        <v/>
      </c>
    </row>
    <row r="45" ht="15.75" customHeight="1">
      <c r="C45" s="3"/>
      <c r="D45" s="3"/>
      <c r="E45" s="3"/>
      <c r="F45" s="3"/>
      <c r="G45" s="4"/>
      <c r="Q45" s="28" t="str">
        <f t="shared" si="6"/>
        <v/>
      </c>
      <c r="R45" s="29">
        <f t="shared" si="1"/>
        <v>0</v>
      </c>
      <c r="S45" s="29">
        <f t="shared" si="7"/>
        <v>98</v>
      </c>
      <c r="T45" s="29" t="str">
        <f t="shared" si="2"/>
        <v/>
      </c>
      <c r="U45" s="29" t="str">
        <f t="shared" si="8"/>
        <v/>
      </c>
    </row>
    <row r="46" ht="12.75" customHeight="1">
      <c r="C46" s="3"/>
      <c r="D46" s="3"/>
      <c r="E46" s="3"/>
      <c r="F46" s="3"/>
      <c r="G46" s="4"/>
      <c r="Q46" s="28" t="str">
        <f t="shared" si="6"/>
        <v/>
      </c>
      <c r="R46" s="29">
        <f t="shared" si="1"/>
        <v>0</v>
      </c>
      <c r="S46" s="29">
        <f t="shared" si="7"/>
        <v>98</v>
      </c>
      <c r="T46" s="29" t="str">
        <f t="shared" si="2"/>
        <v/>
      </c>
      <c r="U46" s="29" t="str">
        <f t="shared" si="8"/>
        <v/>
      </c>
    </row>
    <row r="47" ht="12.75" customHeight="1">
      <c r="C47" s="3"/>
      <c r="D47" s="3"/>
      <c r="E47" s="3"/>
      <c r="F47" s="3"/>
      <c r="G47" s="4"/>
      <c r="Q47" s="28" t="str">
        <f t="shared" si="6"/>
        <v/>
      </c>
      <c r="R47" s="29">
        <f t="shared" si="1"/>
        <v>0</v>
      </c>
      <c r="S47" s="29">
        <f t="shared" si="7"/>
        <v>98</v>
      </c>
      <c r="T47" s="29" t="str">
        <f t="shared" si="2"/>
        <v/>
      </c>
      <c r="U47" s="29" t="str">
        <f t="shared" si="8"/>
        <v/>
      </c>
    </row>
    <row r="48" ht="12.75" customHeight="1">
      <c r="C48" s="3"/>
      <c r="D48" s="3"/>
      <c r="E48" s="3"/>
      <c r="F48" s="3"/>
      <c r="G48" s="4"/>
      <c r="Q48" s="28" t="str">
        <f t="shared" si="6"/>
        <v/>
      </c>
      <c r="R48" s="29">
        <f t="shared" si="1"/>
        <v>0</v>
      </c>
      <c r="S48" s="29">
        <f t="shared" si="7"/>
        <v>98</v>
      </c>
      <c r="T48" s="29" t="str">
        <f t="shared" si="2"/>
        <v/>
      </c>
      <c r="U48" s="29" t="str">
        <f t="shared" si="8"/>
        <v/>
      </c>
    </row>
    <row r="49" ht="12.75" customHeight="1">
      <c r="C49" s="3"/>
      <c r="D49" s="3"/>
      <c r="E49" s="3"/>
      <c r="F49" s="3"/>
      <c r="G49" s="4"/>
      <c r="Q49" s="28" t="str">
        <f t="shared" si="6"/>
        <v/>
      </c>
      <c r="R49" s="29">
        <f t="shared" si="1"/>
        <v>0</v>
      </c>
      <c r="S49" s="29">
        <f t="shared" si="7"/>
        <v>98</v>
      </c>
      <c r="T49" s="29" t="str">
        <f t="shared" si="2"/>
        <v/>
      </c>
      <c r="U49" s="29" t="str">
        <f t="shared" si="8"/>
        <v/>
      </c>
    </row>
    <row r="50" ht="12.75" customHeight="1">
      <c r="C50" s="3"/>
      <c r="D50" s="3"/>
      <c r="E50" s="3"/>
      <c r="F50" s="3"/>
      <c r="G50" s="4"/>
      <c r="Q50" s="28" t="str">
        <f t="shared" si="6"/>
        <v/>
      </c>
      <c r="R50" s="29">
        <f t="shared" si="1"/>
        <v>0</v>
      </c>
      <c r="S50" s="29">
        <f t="shared" si="7"/>
        <v>98</v>
      </c>
      <c r="T50" s="29" t="str">
        <f t="shared" si="2"/>
        <v/>
      </c>
      <c r="U50" s="29" t="str">
        <f t="shared" si="8"/>
        <v/>
      </c>
    </row>
    <row r="51" ht="12.75" customHeight="1">
      <c r="C51" s="3"/>
      <c r="D51" s="3"/>
      <c r="E51" s="3"/>
      <c r="F51" s="3"/>
      <c r="G51" s="4"/>
      <c r="Q51" s="28" t="str">
        <f t="shared" si="6"/>
        <v/>
      </c>
      <c r="R51" s="29">
        <f t="shared" si="1"/>
        <v>0</v>
      </c>
      <c r="S51" s="29">
        <f t="shared" si="7"/>
        <v>98</v>
      </c>
      <c r="T51" s="29" t="str">
        <f t="shared" si="2"/>
        <v/>
      </c>
      <c r="U51" s="29" t="str">
        <f t="shared" si="8"/>
        <v/>
      </c>
    </row>
    <row r="52" ht="12.75" customHeight="1">
      <c r="C52" s="3"/>
      <c r="D52" s="3"/>
      <c r="E52" s="3"/>
      <c r="F52" s="3"/>
      <c r="G52" s="4"/>
      <c r="Q52" s="28" t="str">
        <f t="shared" si="6"/>
        <v/>
      </c>
      <c r="R52" s="29">
        <f t="shared" si="1"/>
        <v>0</v>
      </c>
      <c r="S52" s="29">
        <f t="shared" si="7"/>
        <v>98</v>
      </c>
      <c r="T52" s="29" t="str">
        <f t="shared" si="2"/>
        <v/>
      </c>
      <c r="U52" s="29" t="str">
        <f t="shared" si="8"/>
        <v/>
      </c>
    </row>
    <row r="53" ht="12.75" customHeight="1">
      <c r="C53" s="3"/>
      <c r="D53" s="3"/>
      <c r="E53" s="3"/>
      <c r="F53" s="3"/>
      <c r="G53" s="4"/>
      <c r="Q53" s="28" t="str">
        <f t="shared" si="6"/>
        <v/>
      </c>
      <c r="R53" s="29">
        <f t="shared" si="1"/>
        <v>0</v>
      </c>
      <c r="S53" s="29">
        <f t="shared" si="7"/>
        <v>98</v>
      </c>
      <c r="T53" s="29" t="str">
        <f t="shared" si="2"/>
        <v/>
      </c>
      <c r="U53" s="29" t="str">
        <f t="shared" si="8"/>
        <v/>
      </c>
    </row>
    <row r="54" ht="12.75" customHeight="1">
      <c r="C54" s="3"/>
      <c r="D54" s="3"/>
      <c r="E54" s="3"/>
      <c r="F54" s="3"/>
      <c r="G54" s="4"/>
      <c r="Q54" s="28" t="str">
        <f t="shared" si="6"/>
        <v/>
      </c>
      <c r="R54" s="29">
        <f t="shared" si="1"/>
        <v>0</v>
      </c>
      <c r="S54" s="29">
        <f t="shared" si="7"/>
        <v>98</v>
      </c>
      <c r="T54" s="29" t="str">
        <f t="shared" si="2"/>
        <v/>
      </c>
      <c r="U54" s="29" t="str">
        <f t="shared" si="8"/>
        <v/>
      </c>
    </row>
    <row r="55" ht="12.75" customHeight="1">
      <c r="C55" s="3"/>
      <c r="D55" s="3"/>
      <c r="E55" s="3"/>
      <c r="F55" s="3"/>
      <c r="G55" s="4"/>
      <c r="Q55" s="28" t="str">
        <f t="shared" si="6"/>
        <v/>
      </c>
      <c r="R55" s="29">
        <f t="shared" si="1"/>
        <v>0</v>
      </c>
      <c r="S55" s="29">
        <f t="shared" si="7"/>
        <v>98</v>
      </c>
      <c r="T55" s="29" t="str">
        <f t="shared" si="2"/>
        <v/>
      </c>
      <c r="U55" s="29" t="str">
        <f t="shared" si="8"/>
        <v/>
      </c>
    </row>
    <row r="56" ht="12.75" customHeight="1">
      <c r="C56" s="3"/>
      <c r="D56" s="3"/>
      <c r="E56" s="3"/>
      <c r="F56" s="3"/>
      <c r="G56" s="4"/>
      <c r="Q56" s="28" t="str">
        <f t="shared" si="6"/>
        <v/>
      </c>
      <c r="R56" s="29">
        <f t="shared" si="1"/>
        <v>0</v>
      </c>
      <c r="S56" s="29">
        <f t="shared" si="7"/>
        <v>98</v>
      </c>
      <c r="T56" s="29" t="str">
        <f t="shared" si="2"/>
        <v/>
      </c>
      <c r="U56" s="29" t="str">
        <f t="shared" si="8"/>
        <v/>
      </c>
    </row>
    <row r="57" ht="12.75" customHeight="1">
      <c r="C57" s="3"/>
      <c r="D57" s="3"/>
      <c r="E57" s="3"/>
      <c r="F57" s="3"/>
      <c r="G57" s="4"/>
      <c r="Q57" s="28" t="str">
        <f t="shared" si="6"/>
        <v/>
      </c>
      <c r="R57" s="29">
        <f t="shared" si="1"/>
        <v>0</v>
      </c>
      <c r="S57" s="29">
        <f t="shared" si="7"/>
        <v>98</v>
      </c>
      <c r="T57" s="29" t="str">
        <f t="shared" si="2"/>
        <v/>
      </c>
      <c r="U57" s="29" t="str">
        <f t="shared" si="8"/>
        <v/>
      </c>
    </row>
    <row r="58" ht="12.75" customHeight="1">
      <c r="C58" s="3"/>
      <c r="D58" s="3"/>
      <c r="E58" s="3"/>
      <c r="F58" s="3"/>
      <c r="G58" s="4"/>
      <c r="Q58" s="28" t="str">
        <f t="shared" si="6"/>
        <v/>
      </c>
      <c r="R58" s="29">
        <f t="shared" si="1"/>
        <v>0</v>
      </c>
      <c r="S58" s="29">
        <f t="shared" si="7"/>
        <v>98</v>
      </c>
      <c r="T58" s="29" t="str">
        <f t="shared" si="2"/>
        <v/>
      </c>
      <c r="U58" s="29" t="str">
        <f t="shared" si="8"/>
        <v/>
      </c>
    </row>
    <row r="59" ht="12.75" customHeight="1">
      <c r="C59" s="3"/>
      <c r="D59" s="3"/>
      <c r="E59" s="3"/>
      <c r="F59" s="3"/>
      <c r="G59" s="4"/>
      <c r="Q59" s="28" t="str">
        <f t="shared" si="6"/>
        <v/>
      </c>
      <c r="R59" s="29">
        <f t="shared" si="1"/>
        <v>0</v>
      </c>
      <c r="S59" s="29">
        <f t="shared" si="7"/>
        <v>98</v>
      </c>
      <c r="T59" s="29" t="str">
        <f t="shared" si="2"/>
        <v/>
      </c>
      <c r="U59" s="29" t="str">
        <f t="shared" si="8"/>
        <v/>
      </c>
    </row>
    <row r="60" ht="12.75" customHeight="1">
      <c r="C60" s="3"/>
      <c r="D60" s="3"/>
      <c r="E60" s="3"/>
      <c r="F60" s="3"/>
      <c r="G60" s="4"/>
      <c r="Q60" s="28" t="str">
        <f t="shared" si="6"/>
        <v/>
      </c>
      <c r="R60" s="29">
        <f t="shared" si="1"/>
        <v>0</v>
      </c>
      <c r="S60" s="29">
        <f t="shared" si="7"/>
        <v>98</v>
      </c>
      <c r="T60" s="29" t="str">
        <f t="shared" si="2"/>
        <v/>
      </c>
      <c r="U60" s="29" t="str">
        <f t="shared" si="8"/>
        <v/>
      </c>
    </row>
    <row r="61" ht="12.75" customHeight="1">
      <c r="C61" s="3"/>
      <c r="D61" s="3"/>
      <c r="E61" s="3"/>
      <c r="F61" s="3"/>
      <c r="G61" s="4"/>
      <c r="Q61" s="28" t="str">
        <f t="shared" si="6"/>
        <v/>
      </c>
      <c r="R61" s="29">
        <f t="shared" si="1"/>
        <v>0</v>
      </c>
      <c r="S61" s="29">
        <f t="shared" si="7"/>
        <v>98</v>
      </c>
      <c r="T61" s="29" t="str">
        <f t="shared" si="2"/>
        <v/>
      </c>
      <c r="U61" s="29" t="str">
        <f t="shared" si="8"/>
        <v/>
      </c>
    </row>
    <row r="62" ht="12.75" customHeight="1">
      <c r="C62" s="3"/>
      <c r="D62" s="3"/>
      <c r="E62" s="3"/>
      <c r="F62" s="3"/>
      <c r="G62" s="4"/>
      <c r="Q62" s="28" t="str">
        <f t="shared" si="6"/>
        <v/>
      </c>
      <c r="R62" s="29">
        <f t="shared" si="1"/>
        <v>0</v>
      </c>
      <c r="S62" s="29">
        <f t="shared" si="7"/>
        <v>98</v>
      </c>
      <c r="T62" s="29" t="str">
        <f t="shared" si="2"/>
        <v/>
      </c>
      <c r="U62" s="29" t="str">
        <f t="shared" si="8"/>
        <v/>
      </c>
    </row>
    <row r="63" ht="12.75" customHeight="1">
      <c r="C63" s="3"/>
      <c r="D63" s="3"/>
      <c r="E63" s="3"/>
      <c r="F63" s="3"/>
      <c r="G63" s="4"/>
      <c r="Q63" s="28" t="str">
        <f t="shared" si="6"/>
        <v/>
      </c>
      <c r="R63" s="29">
        <f t="shared" si="1"/>
        <v>0</v>
      </c>
      <c r="S63" s="29">
        <f t="shared" si="7"/>
        <v>98</v>
      </c>
      <c r="T63" s="29" t="str">
        <f t="shared" si="2"/>
        <v/>
      </c>
      <c r="U63" s="29" t="str">
        <f t="shared" si="8"/>
        <v/>
      </c>
    </row>
    <row r="64" ht="12.75" customHeight="1">
      <c r="C64" s="3"/>
      <c r="D64" s="3"/>
      <c r="E64" s="3"/>
      <c r="F64" s="3"/>
      <c r="G64" s="4"/>
      <c r="Q64" s="28" t="str">
        <f t="shared" si="6"/>
        <v/>
      </c>
      <c r="R64" s="29">
        <f t="shared" si="1"/>
        <v>0</v>
      </c>
      <c r="S64" s="29">
        <f t="shared" si="7"/>
        <v>98</v>
      </c>
      <c r="T64" s="29" t="str">
        <f t="shared" si="2"/>
        <v/>
      </c>
      <c r="U64" s="29" t="str">
        <f t="shared" si="8"/>
        <v/>
      </c>
    </row>
    <row r="65" ht="12.75" customHeight="1">
      <c r="C65" s="3"/>
      <c r="D65" s="3"/>
      <c r="E65" s="3"/>
      <c r="F65" s="3"/>
      <c r="G65" s="4"/>
      <c r="Q65" s="28" t="str">
        <f t="shared" si="6"/>
        <v/>
      </c>
      <c r="R65" s="29">
        <f t="shared" si="1"/>
        <v>0</v>
      </c>
      <c r="S65" s="29">
        <f t="shared" si="7"/>
        <v>98</v>
      </c>
      <c r="T65" s="29" t="str">
        <f t="shared" si="2"/>
        <v/>
      </c>
      <c r="U65" s="29" t="str">
        <f t="shared" si="8"/>
        <v/>
      </c>
    </row>
    <row r="66" ht="12.75" customHeight="1">
      <c r="C66" s="3"/>
      <c r="D66" s="3"/>
      <c r="E66" s="3"/>
      <c r="F66" s="3"/>
      <c r="G66" s="4"/>
      <c r="Q66" s="28" t="str">
        <f t="shared" si="6"/>
        <v/>
      </c>
      <c r="R66" s="29">
        <f t="shared" si="1"/>
        <v>0</v>
      </c>
      <c r="S66" s="29">
        <f t="shared" si="7"/>
        <v>98</v>
      </c>
      <c r="T66" s="29" t="str">
        <f t="shared" si="2"/>
        <v/>
      </c>
      <c r="U66" s="29" t="str">
        <f t="shared" si="8"/>
        <v/>
      </c>
    </row>
    <row r="67" ht="12.75" customHeight="1">
      <c r="C67" s="3"/>
      <c r="D67" s="3"/>
      <c r="E67" s="3"/>
      <c r="F67" s="3"/>
      <c r="G67" s="4"/>
      <c r="Q67" s="28" t="str">
        <f t="shared" si="6"/>
        <v/>
      </c>
      <c r="R67" s="29">
        <f t="shared" si="1"/>
        <v>0</v>
      </c>
      <c r="S67" s="29">
        <f t="shared" si="7"/>
        <v>98</v>
      </c>
      <c r="T67" s="29" t="str">
        <f t="shared" si="2"/>
        <v/>
      </c>
      <c r="U67" s="29" t="str">
        <f t="shared" si="8"/>
        <v/>
      </c>
    </row>
    <row r="68" ht="12.75" customHeight="1">
      <c r="C68" s="3"/>
      <c r="D68" s="3"/>
      <c r="E68" s="3"/>
      <c r="F68" s="3"/>
      <c r="G68" s="4"/>
      <c r="Q68" s="28" t="str">
        <f t="shared" si="6"/>
        <v/>
      </c>
      <c r="R68" s="29">
        <f t="shared" si="1"/>
        <v>0</v>
      </c>
      <c r="S68" s="29">
        <f t="shared" si="7"/>
        <v>98</v>
      </c>
      <c r="T68" s="29" t="str">
        <f t="shared" si="2"/>
        <v/>
      </c>
      <c r="U68" s="29" t="str">
        <f t="shared" si="8"/>
        <v/>
      </c>
    </row>
    <row r="69" ht="12.75" customHeight="1">
      <c r="C69" s="3"/>
      <c r="D69" s="3"/>
      <c r="E69" s="3"/>
      <c r="F69" s="3"/>
      <c r="G69" s="4"/>
      <c r="Q69" s="28" t="str">
        <f t="shared" si="6"/>
        <v/>
      </c>
      <c r="R69" s="29">
        <f t="shared" si="1"/>
        <v>0</v>
      </c>
      <c r="S69" s="29">
        <f t="shared" si="7"/>
        <v>98</v>
      </c>
      <c r="T69" s="29" t="str">
        <f t="shared" si="2"/>
        <v/>
      </c>
      <c r="U69" s="29" t="str">
        <f t="shared" si="8"/>
        <v/>
      </c>
    </row>
    <row r="70" ht="12.75" customHeight="1">
      <c r="C70" s="3"/>
      <c r="D70" s="3"/>
      <c r="E70" s="3"/>
      <c r="F70" s="3"/>
      <c r="G70" s="4"/>
      <c r="Q70" s="28" t="str">
        <f t="shared" si="6"/>
        <v/>
      </c>
      <c r="R70" s="29">
        <f t="shared" si="1"/>
        <v>0</v>
      </c>
      <c r="S70" s="29">
        <f t="shared" si="7"/>
        <v>98</v>
      </c>
      <c r="T70" s="29" t="str">
        <f t="shared" si="2"/>
        <v/>
      </c>
      <c r="U70" s="29" t="str">
        <f t="shared" si="8"/>
        <v/>
      </c>
    </row>
    <row r="71" ht="12.75" customHeight="1">
      <c r="C71" s="3"/>
      <c r="D71" s="3"/>
      <c r="E71" s="3"/>
      <c r="F71" s="3"/>
      <c r="G71" s="4"/>
      <c r="Q71" s="28" t="str">
        <f t="shared" si="6"/>
        <v/>
      </c>
      <c r="R71" s="29">
        <f t="shared" si="1"/>
        <v>0</v>
      </c>
      <c r="S71" s="29">
        <f t="shared" si="7"/>
        <v>98</v>
      </c>
      <c r="T71" s="29" t="str">
        <f t="shared" si="2"/>
        <v/>
      </c>
      <c r="U71" s="29" t="str">
        <f t="shared" si="8"/>
        <v/>
      </c>
    </row>
    <row r="72" ht="12.75" customHeight="1">
      <c r="C72" s="3"/>
      <c r="D72" s="3"/>
      <c r="E72" s="3"/>
      <c r="F72" s="3"/>
      <c r="G72" s="4"/>
      <c r="Q72" s="28" t="str">
        <f t="shared" si="6"/>
        <v/>
      </c>
      <c r="R72" s="29">
        <f t="shared" si="1"/>
        <v>0</v>
      </c>
      <c r="S72" s="29">
        <f t="shared" si="7"/>
        <v>98</v>
      </c>
      <c r="T72" s="29" t="str">
        <f t="shared" si="2"/>
        <v/>
      </c>
      <c r="U72" s="29" t="str">
        <f t="shared" si="8"/>
        <v/>
      </c>
    </row>
    <row r="73" ht="12.75" customHeight="1">
      <c r="C73" s="3"/>
      <c r="D73" s="3"/>
      <c r="E73" s="3"/>
      <c r="F73" s="3"/>
      <c r="G73" s="4"/>
      <c r="Q73" s="28" t="str">
        <f t="shared" si="6"/>
        <v/>
      </c>
      <c r="R73" s="29">
        <f t="shared" si="1"/>
        <v>0</v>
      </c>
      <c r="S73" s="29">
        <f t="shared" si="7"/>
        <v>98</v>
      </c>
      <c r="T73" s="29" t="str">
        <f t="shared" si="2"/>
        <v/>
      </c>
      <c r="U73" s="29" t="str">
        <f t="shared" si="8"/>
        <v/>
      </c>
    </row>
    <row r="74" ht="12.75" customHeight="1">
      <c r="C74" s="3"/>
      <c r="D74" s="3"/>
      <c r="E74" s="3"/>
      <c r="F74" s="3"/>
      <c r="G74" s="4"/>
      <c r="Q74" s="28" t="str">
        <f t="shared" si="6"/>
        <v/>
      </c>
      <c r="R74" s="29">
        <f t="shared" si="1"/>
        <v>0</v>
      </c>
      <c r="S74" s="29">
        <f t="shared" si="7"/>
        <v>98</v>
      </c>
      <c r="T74" s="29" t="str">
        <f t="shared" si="2"/>
        <v/>
      </c>
      <c r="U74" s="29" t="str">
        <f t="shared" si="8"/>
        <v/>
      </c>
    </row>
    <row r="75" ht="12.75" customHeight="1">
      <c r="C75" s="3"/>
      <c r="D75" s="3"/>
      <c r="E75" s="3"/>
      <c r="F75" s="3"/>
      <c r="G75" s="4"/>
      <c r="Q75" s="28" t="str">
        <f t="shared" si="6"/>
        <v/>
      </c>
      <c r="R75" s="29">
        <f t="shared" si="1"/>
        <v>0</v>
      </c>
      <c r="S75" s="29">
        <f t="shared" si="7"/>
        <v>98</v>
      </c>
      <c r="T75" s="29" t="str">
        <f t="shared" si="2"/>
        <v/>
      </c>
      <c r="U75" s="29" t="str">
        <f t="shared" si="8"/>
        <v/>
      </c>
    </row>
    <row r="76" ht="12.75" customHeight="1">
      <c r="C76" s="3"/>
      <c r="D76" s="3"/>
      <c r="E76" s="3"/>
      <c r="F76" s="3"/>
      <c r="G76" s="4"/>
      <c r="Q76" s="28" t="str">
        <f t="shared" si="6"/>
        <v/>
      </c>
      <c r="R76" s="29">
        <f t="shared" si="1"/>
        <v>0</v>
      </c>
      <c r="S76" s="29">
        <f t="shared" si="7"/>
        <v>98</v>
      </c>
      <c r="T76" s="29" t="str">
        <f t="shared" si="2"/>
        <v/>
      </c>
      <c r="U76" s="29" t="str">
        <f t="shared" si="8"/>
        <v/>
      </c>
    </row>
    <row r="77" ht="12.75" customHeight="1">
      <c r="C77" s="3"/>
      <c r="D77" s="3"/>
      <c r="E77" s="3"/>
      <c r="F77" s="3"/>
      <c r="G77" s="4"/>
      <c r="Q77" s="28" t="str">
        <f t="shared" si="6"/>
        <v/>
      </c>
      <c r="R77" s="29">
        <f t="shared" si="1"/>
        <v>0</v>
      </c>
      <c r="S77" s="29">
        <f t="shared" si="7"/>
        <v>98</v>
      </c>
      <c r="T77" s="29" t="str">
        <f t="shared" si="2"/>
        <v/>
      </c>
      <c r="U77" s="29" t="str">
        <f t="shared" si="8"/>
        <v/>
      </c>
    </row>
    <row r="78" ht="12.75" customHeight="1">
      <c r="C78" s="3"/>
      <c r="D78" s="3"/>
      <c r="E78" s="3"/>
      <c r="F78" s="3"/>
      <c r="G78" s="4"/>
      <c r="Q78" s="28" t="str">
        <f t="shared" si="6"/>
        <v/>
      </c>
      <c r="R78" s="29">
        <f t="shared" si="1"/>
        <v>0</v>
      </c>
      <c r="S78" s="29">
        <f t="shared" si="7"/>
        <v>98</v>
      </c>
      <c r="T78" s="29" t="str">
        <f t="shared" si="2"/>
        <v/>
      </c>
      <c r="U78" s="29" t="str">
        <f t="shared" si="8"/>
        <v/>
      </c>
    </row>
    <row r="79" ht="12.75" customHeight="1">
      <c r="C79" s="3"/>
      <c r="D79" s="3"/>
      <c r="E79" s="3"/>
      <c r="F79" s="3"/>
      <c r="G79" s="4"/>
      <c r="Q79" s="28" t="str">
        <f t="shared" si="6"/>
        <v/>
      </c>
      <c r="R79" s="29">
        <f t="shared" si="1"/>
        <v>0</v>
      </c>
      <c r="S79" s="29">
        <f t="shared" si="7"/>
        <v>98</v>
      </c>
      <c r="T79" s="29" t="str">
        <f t="shared" si="2"/>
        <v/>
      </c>
      <c r="U79" s="29" t="str">
        <f t="shared" si="8"/>
        <v/>
      </c>
    </row>
    <row r="80" ht="12.75" customHeight="1">
      <c r="C80" s="3"/>
      <c r="D80" s="3"/>
      <c r="E80" s="3"/>
      <c r="F80" s="3"/>
      <c r="G80" s="4"/>
      <c r="Q80" s="28" t="str">
        <f t="shared" si="6"/>
        <v/>
      </c>
      <c r="R80" s="29">
        <f t="shared" si="1"/>
        <v>0</v>
      </c>
      <c r="S80" s="29">
        <f t="shared" si="7"/>
        <v>98</v>
      </c>
      <c r="T80" s="29" t="str">
        <f t="shared" si="2"/>
        <v/>
      </c>
      <c r="U80" s="29" t="str">
        <f t="shared" si="8"/>
        <v/>
      </c>
    </row>
    <row r="81" ht="12.75" customHeight="1">
      <c r="C81" s="3"/>
      <c r="D81" s="3"/>
      <c r="E81" s="3"/>
      <c r="F81" s="3"/>
      <c r="G81" s="4"/>
      <c r="Q81" s="28" t="str">
        <f t="shared" si="6"/>
        <v/>
      </c>
      <c r="R81" s="29">
        <f t="shared" si="1"/>
        <v>0</v>
      </c>
      <c r="S81" s="29">
        <f t="shared" si="7"/>
        <v>98</v>
      </c>
      <c r="T81" s="29" t="str">
        <f t="shared" si="2"/>
        <v/>
      </c>
      <c r="U81" s="29" t="str">
        <f t="shared" si="8"/>
        <v/>
      </c>
    </row>
    <row r="82" ht="12.75" customHeight="1">
      <c r="C82" s="3"/>
      <c r="D82" s="3"/>
      <c r="E82" s="3"/>
      <c r="F82" s="3"/>
      <c r="G82" s="4"/>
      <c r="Q82" s="28" t="str">
        <f t="shared" si="6"/>
        <v/>
      </c>
      <c r="R82" s="29">
        <f t="shared" si="1"/>
        <v>0</v>
      </c>
      <c r="S82" s="29">
        <f t="shared" si="7"/>
        <v>98</v>
      </c>
      <c r="T82" s="29" t="str">
        <f t="shared" si="2"/>
        <v/>
      </c>
      <c r="U82" s="29" t="str">
        <f t="shared" si="8"/>
        <v/>
      </c>
    </row>
    <row r="83" ht="12.75" customHeight="1">
      <c r="C83" s="3"/>
      <c r="D83" s="3"/>
      <c r="E83" s="3"/>
      <c r="F83" s="3"/>
      <c r="G83" s="4"/>
      <c r="Q83" s="28" t="str">
        <f t="shared" si="6"/>
        <v/>
      </c>
      <c r="R83" s="29">
        <f t="shared" si="1"/>
        <v>0</v>
      </c>
      <c r="S83" s="29">
        <f t="shared" si="7"/>
        <v>98</v>
      </c>
      <c r="T83" s="29" t="str">
        <f t="shared" si="2"/>
        <v/>
      </c>
      <c r="U83" s="29" t="str">
        <f t="shared" si="8"/>
        <v/>
      </c>
    </row>
    <row r="84" ht="12.75" customHeight="1">
      <c r="C84" s="3"/>
      <c r="D84" s="3"/>
      <c r="E84" s="3"/>
      <c r="F84" s="3"/>
      <c r="G84" s="4"/>
      <c r="Q84" s="28" t="str">
        <f t="shared" si="6"/>
        <v/>
      </c>
      <c r="R84" s="29">
        <f t="shared" si="1"/>
        <v>0</v>
      </c>
      <c r="S84" s="29">
        <f t="shared" si="7"/>
        <v>98</v>
      </c>
      <c r="T84" s="29" t="str">
        <f t="shared" si="2"/>
        <v/>
      </c>
      <c r="U84" s="29" t="str">
        <f t="shared" si="8"/>
        <v/>
      </c>
    </row>
    <row r="85" ht="12.75" customHeight="1">
      <c r="C85" s="3"/>
      <c r="D85" s="3"/>
      <c r="E85" s="3"/>
      <c r="F85" s="3"/>
      <c r="G85" s="4"/>
      <c r="Q85" s="28" t="str">
        <f t="shared" si="6"/>
        <v/>
      </c>
      <c r="R85" s="29">
        <f t="shared" si="1"/>
        <v>0</v>
      </c>
      <c r="S85" s="29">
        <f t="shared" si="7"/>
        <v>98</v>
      </c>
      <c r="T85" s="29" t="str">
        <f t="shared" si="2"/>
        <v/>
      </c>
      <c r="U85" s="29" t="str">
        <f t="shared" si="8"/>
        <v/>
      </c>
    </row>
    <row r="86" ht="12.75" customHeight="1">
      <c r="C86" s="3"/>
      <c r="D86" s="3"/>
      <c r="E86" s="3"/>
      <c r="F86" s="3"/>
      <c r="G86" s="4"/>
      <c r="Q86" s="28" t="str">
        <f t="shared" si="6"/>
        <v/>
      </c>
      <c r="R86" s="29">
        <f t="shared" si="1"/>
        <v>0</v>
      </c>
      <c r="S86" s="29">
        <f t="shared" si="7"/>
        <v>98</v>
      </c>
      <c r="T86" s="29" t="str">
        <f t="shared" si="2"/>
        <v/>
      </c>
      <c r="U86" s="29" t="str">
        <f t="shared" si="8"/>
        <v/>
      </c>
    </row>
    <row r="87" ht="12.75" customHeight="1">
      <c r="C87" s="3"/>
      <c r="D87" s="3"/>
      <c r="E87" s="3"/>
      <c r="F87" s="3"/>
      <c r="G87" s="4"/>
      <c r="Q87" s="28" t="str">
        <f t="shared" si="6"/>
        <v/>
      </c>
      <c r="R87" s="29">
        <f t="shared" si="1"/>
        <v>0</v>
      </c>
      <c r="S87" s="29">
        <f t="shared" si="7"/>
        <v>98</v>
      </c>
      <c r="T87" s="29" t="str">
        <f t="shared" si="2"/>
        <v/>
      </c>
      <c r="U87" s="29" t="str">
        <f t="shared" si="8"/>
        <v/>
      </c>
    </row>
    <row r="88" ht="12.75" customHeight="1">
      <c r="C88" s="3"/>
      <c r="D88" s="3"/>
      <c r="E88" s="3"/>
      <c r="F88" s="3"/>
      <c r="G88" s="4"/>
      <c r="Q88" s="28" t="str">
        <f t="shared" si="6"/>
        <v/>
      </c>
      <c r="R88" s="29">
        <f t="shared" si="1"/>
        <v>0</v>
      </c>
      <c r="S88" s="29">
        <f t="shared" si="7"/>
        <v>98</v>
      </c>
      <c r="T88" s="29" t="str">
        <f t="shared" si="2"/>
        <v/>
      </c>
      <c r="U88" s="29" t="str">
        <f t="shared" si="8"/>
        <v/>
      </c>
    </row>
    <row r="89" ht="12.75" customHeight="1">
      <c r="C89" s="3"/>
      <c r="D89" s="3"/>
      <c r="E89" s="3"/>
      <c r="F89" s="3"/>
      <c r="G89" s="4"/>
      <c r="Q89" s="28" t="str">
        <f t="shared" si="6"/>
        <v/>
      </c>
      <c r="R89" s="29">
        <f t="shared" si="1"/>
        <v>0</v>
      </c>
      <c r="S89" s="29">
        <f t="shared" si="7"/>
        <v>98</v>
      </c>
      <c r="T89" s="29" t="str">
        <f t="shared" si="2"/>
        <v/>
      </c>
      <c r="U89" s="29" t="str">
        <f t="shared" si="8"/>
        <v/>
      </c>
    </row>
    <row r="90" ht="12.75" customHeight="1">
      <c r="C90" s="3"/>
      <c r="D90" s="3"/>
      <c r="E90" s="3"/>
      <c r="F90" s="3"/>
      <c r="G90" s="4"/>
      <c r="Q90" s="28" t="str">
        <f t="shared" si="6"/>
        <v/>
      </c>
      <c r="R90" s="29">
        <f t="shared" si="1"/>
        <v>0</v>
      </c>
      <c r="S90" s="29">
        <f t="shared" si="7"/>
        <v>98</v>
      </c>
      <c r="T90" s="29" t="str">
        <f t="shared" si="2"/>
        <v/>
      </c>
      <c r="U90" s="29" t="str">
        <f t="shared" si="8"/>
        <v/>
      </c>
    </row>
    <row r="91" ht="12.75" customHeight="1">
      <c r="C91" s="3"/>
      <c r="D91" s="3"/>
      <c r="E91" s="3"/>
      <c r="F91" s="3"/>
      <c r="G91" s="4"/>
      <c r="Q91" s="28" t="str">
        <f t="shared" si="6"/>
        <v/>
      </c>
      <c r="R91" s="29">
        <f t="shared" si="1"/>
        <v>0</v>
      </c>
      <c r="S91" s="29">
        <f t="shared" si="7"/>
        <v>98</v>
      </c>
      <c r="T91" s="29" t="str">
        <f t="shared" si="2"/>
        <v/>
      </c>
      <c r="U91" s="29" t="str">
        <f t="shared" si="8"/>
        <v/>
      </c>
    </row>
    <row r="92" ht="12.75" customHeight="1">
      <c r="C92" s="3"/>
      <c r="D92" s="3"/>
      <c r="E92" s="3"/>
      <c r="F92" s="3"/>
      <c r="G92" s="4"/>
      <c r="Q92" s="28" t="str">
        <f t="shared" si="6"/>
        <v/>
      </c>
      <c r="R92" s="29">
        <f t="shared" si="1"/>
        <v>0</v>
      </c>
      <c r="S92" s="29">
        <f t="shared" si="7"/>
        <v>98</v>
      </c>
      <c r="T92" s="29" t="str">
        <f t="shared" si="2"/>
        <v/>
      </c>
      <c r="U92" s="29" t="str">
        <f t="shared" si="8"/>
        <v/>
      </c>
    </row>
    <row r="93" ht="12.75" customHeight="1">
      <c r="C93" s="3"/>
      <c r="D93" s="3"/>
      <c r="E93" s="3"/>
      <c r="F93" s="3"/>
      <c r="G93" s="4"/>
      <c r="Q93" s="28" t="str">
        <f t="shared" si="6"/>
        <v/>
      </c>
      <c r="R93" s="29">
        <f t="shared" si="1"/>
        <v>0</v>
      </c>
      <c r="S93" s="29">
        <f t="shared" si="7"/>
        <v>98</v>
      </c>
      <c r="T93" s="29" t="str">
        <f t="shared" si="2"/>
        <v/>
      </c>
      <c r="U93" s="29" t="str">
        <f t="shared" si="8"/>
        <v/>
      </c>
    </row>
    <row r="94" ht="12.75" customHeight="1">
      <c r="C94" s="3"/>
      <c r="D94" s="3"/>
      <c r="E94" s="3"/>
      <c r="F94" s="3"/>
      <c r="G94" s="4"/>
      <c r="Q94" s="28" t="str">
        <f t="shared" si="6"/>
        <v/>
      </c>
      <c r="R94" s="29">
        <f t="shared" si="1"/>
        <v>0</v>
      </c>
      <c r="S94" s="29">
        <f t="shared" si="7"/>
        <v>98</v>
      </c>
      <c r="T94" s="29" t="str">
        <f t="shared" si="2"/>
        <v/>
      </c>
      <c r="U94" s="29" t="str">
        <f t="shared" si="8"/>
        <v/>
      </c>
    </row>
    <row r="95" ht="12.75" customHeight="1">
      <c r="C95" s="3"/>
      <c r="D95" s="3"/>
      <c r="E95" s="3"/>
      <c r="F95" s="3"/>
      <c r="G95" s="4"/>
      <c r="Q95" s="28" t="str">
        <f t="shared" si="6"/>
        <v/>
      </c>
      <c r="R95" s="29">
        <f t="shared" si="1"/>
        <v>0</v>
      </c>
      <c r="S95" s="29">
        <f t="shared" si="7"/>
        <v>98</v>
      </c>
      <c r="T95" s="29" t="str">
        <f t="shared" si="2"/>
        <v/>
      </c>
      <c r="U95" s="29" t="str">
        <f t="shared" si="8"/>
        <v/>
      </c>
    </row>
    <row r="96" ht="12.75" customHeight="1">
      <c r="C96" s="3"/>
      <c r="D96" s="3"/>
      <c r="E96" s="3"/>
      <c r="F96" s="3"/>
      <c r="G96" s="4"/>
      <c r="Q96" s="28" t="str">
        <f t="shared" si="6"/>
        <v/>
      </c>
      <c r="R96" s="29">
        <f t="shared" si="1"/>
        <v>0</v>
      </c>
      <c r="S96" s="29">
        <f t="shared" si="7"/>
        <v>98</v>
      </c>
      <c r="T96" s="29" t="str">
        <f t="shared" si="2"/>
        <v/>
      </c>
      <c r="U96" s="29" t="str">
        <f t="shared" si="8"/>
        <v/>
      </c>
    </row>
    <row r="97" ht="12.75" customHeight="1">
      <c r="C97" s="3"/>
      <c r="D97" s="3"/>
      <c r="E97" s="3"/>
      <c r="F97" s="3"/>
      <c r="G97" s="4"/>
      <c r="Q97" s="28" t="str">
        <f t="shared" si="6"/>
        <v/>
      </c>
      <c r="R97" s="29">
        <f t="shared" si="1"/>
        <v>0</v>
      </c>
      <c r="S97" s="29">
        <f t="shared" si="7"/>
        <v>98</v>
      </c>
      <c r="T97" s="29" t="str">
        <f t="shared" si="2"/>
        <v/>
      </c>
      <c r="U97" s="29" t="str">
        <f t="shared" si="8"/>
        <v/>
      </c>
    </row>
    <row r="98" ht="12.75" customHeight="1">
      <c r="C98" s="3"/>
      <c r="D98" s="3"/>
      <c r="E98" s="3"/>
      <c r="F98" s="3"/>
      <c r="G98" s="4"/>
      <c r="Q98" s="28" t="str">
        <f t="shared" si="6"/>
        <v/>
      </c>
      <c r="R98" s="29">
        <f t="shared" si="1"/>
        <v>0</v>
      </c>
      <c r="S98" s="29">
        <f t="shared" si="7"/>
        <v>98</v>
      </c>
      <c r="T98" s="29" t="str">
        <f t="shared" si="2"/>
        <v/>
      </c>
      <c r="U98" s="29" t="str">
        <f t="shared" si="8"/>
        <v/>
      </c>
    </row>
    <row r="99" ht="12.75" customHeight="1">
      <c r="C99" s="3"/>
      <c r="D99" s="3"/>
      <c r="E99" s="3"/>
      <c r="F99" s="3"/>
      <c r="G99" s="4"/>
      <c r="Q99" s="28" t="str">
        <f t="shared" si="6"/>
        <v/>
      </c>
      <c r="R99" s="29">
        <f t="shared" si="1"/>
        <v>0</v>
      </c>
      <c r="S99" s="29">
        <f t="shared" si="7"/>
        <v>98</v>
      </c>
      <c r="T99" s="29" t="str">
        <f t="shared" si="2"/>
        <v/>
      </c>
      <c r="U99" s="29" t="str">
        <f t="shared" si="8"/>
        <v/>
      </c>
    </row>
    <row r="100" ht="12.75" customHeight="1">
      <c r="C100" s="3"/>
      <c r="D100" s="3"/>
      <c r="E100" s="3"/>
      <c r="F100" s="3"/>
      <c r="G100" s="4"/>
      <c r="Q100" s="28" t="str">
        <f t="shared" si="6"/>
        <v/>
      </c>
      <c r="R100" s="29">
        <f t="shared" si="1"/>
        <v>0</v>
      </c>
      <c r="S100" s="29">
        <f t="shared" si="7"/>
        <v>98</v>
      </c>
      <c r="T100" s="29" t="str">
        <f t="shared" si="2"/>
        <v/>
      </c>
      <c r="U100" s="29" t="str">
        <f t="shared" si="8"/>
        <v/>
      </c>
    </row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F2:F100">
    <cfRule type="containsText" dxfId="3" priority="1" operator="containsText" text="Done">
      <formula>NOT(ISERROR(SEARCH(("Done"),(F2))))</formula>
    </cfRule>
  </conditionalFormatting>
  <conditionalFormatting sqref="F2:F100">
    <cfRule type="containsText" dxfId="6" priority="2" operator="containsText" text="In Progress">
      <formula>NOT(ISERROR(SEARCH(("In Progress"),(F2))))</formula>
    </cfRule>
  </conditionalFormatting>
  <conditionalFormatting sqref="F2:F100">
    <cfRule type="containsText" dxfId="7" priority="3" operator="containsText" text="To Do">
      <formula>NOT(ISERROR(SEARCH(("To Do"),(F2))))</formula>
    </cfRule>
  </conditionalFormatting>
  <dataValidations>
    <dataValidation type="list" allowBlank="1" showInputMessage="1" showErrorMessage="1" prompt="Invalid Entry - Please select a team member from the list." sqref="E2:E100">
      <formula1>"Abdullah Waleed bin Maneea,Abdullah Yousef aldhayan,Abdullah Ibrahim aloud,Fahad Ali alghubayshi"</formula1>
    </dataValidation>
    <dataValidation type="list" allowBlank="1" showInputMessage="1" showErrorMessage="1" prompt="Invalid Entry - Please select: To Do, In Progress, or Done." sqref="F2:F100">
      <formula1>"To Do,In Progress,Done"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25"/>
    <col customWidth="1" min="3" max="9" width="12.75"/>
    <col customWidth="1" min="10" max="10" width="12.38"/>
    <col customWidth="1" min="11" max="11" width="13.38"/>
    <col customWidth="1" min="12" max="12" width="16.75"/>
    <col customWidth="1" min="13" max="13" width="12.38"/>
    <col customWidth="1" min="14" max="14" width="13.38"/>
    <col customWidth="1" min="15" max="15" width="16.75"/>
    <col customWidth="1" min="16" max="17" width="12.75"/>
    <col customWidth="1" min="18" max="18" width="20.0"/>
    <col customWidth="1" min="19" max="19" width="19.38"/>
    <col customWidth="1" min="20" max="20" width="20.13"/>
    <col customWidth="1" min="21" max="21" width="17.13"/>
  </cols>
  <sheetData>
    <row r="1" ht="15.75" customHeight="1">
      <c r="A1" s="3" t="s">
        <v>15</v>
      </c>
      <c r="B1" s="13" t="s">
        <v>137</v>
      </c>
      <c r="C1" s="13" t="s">
        <v>138</v>
      </c>
      <c r="D1" s="13" t="s">
        <v>139</v>
      </c>
      <c r="E1" s="13" t="s">
        <v>140</v>
      </c>
      <c r="F1" s="13" t="s">
        <v>20</v>
      </c>
      <c r="G1" s="1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  <c r="U1" s="3" t="s">
        <v>146</v>
      </c>
    </row>
    <row r="2" ht="15.75" customHeight="1">
      <c r="A2" s="3" t="s">
        <v>186</v>
      </c>
      <c r="B2" s="3" t="s">
        <v>187</v>
      </c>
      <c r="C2" s="9"/>
      <c r="D2" s="3"/>
      <c r="E2" s="3"/>
      <c r="F2" s="3" t="s">
        <v>164</v>
      </c>
      <c r="G2" s="4"/>
      <c r="H2" s="15"/>
      <c r="I2" s="16" t="s">
        <v>148</v>
      </c>
      <c r="J2" s="16">
        <v>0.0</v>
      </c>
      <c r="L2" s="17" t="s">
        <v>140</v>
      </c>
      <c r="M2" s="17" t="s">
        <v>149</v>
      </c>
      <c r="N2" s="17" t="s">
        <v>150</v>
      </c>
      <c r="O2" s="17" t="s">
        <v>151</v>
      </c>
      <c r="Q2" s="14">
        <f>J3</f>
        <v>43554</v>
      </c>
      <c r="R2" s="9">
        <f t="shared" ref="R2:R100" si="1">SUMIFS($C$2:$C$100,$G$2:$G$100,Q2,$F$2:$F$100,"Done")</f>
        <v>0</v>
      </c>
      <c r="S2" s="9">
        <f>R2</f>
        <v>0</v>
      </c>
      <c r="T2" s="18">
        <f t="shared" ref="T2:T100" si="2">IF(AND(ISNUMBER(Q2),Q2&lt;=TODAY()),$M$10-S2,"")</f>
        <v>0</v>
      </c>
      <c r="U2" s="9">
        <f>$M$10</f>
        <v>0</v>
      </c>
    </row>
    <row r="3" ht="15.75" customHeight="1">
      <c r="C3" s="9"/>
      <c r="D3" s="9"/>
      <c r="E3" s="3"/>
      <c r="F3" s="3" t="s">
        <v>164</v>
      </c>
      <c r="G3" s="4"/>
      <c r="H3" s="3"/>
      <c r="I3" s="16" t="s">
        <v>153</v>
      </c>
      <c r="J3" s="19">
        <v>43554.0</v>
      </c>
      <c r="L3" s="17" t="str">
        <f>'Team Members'!A2</f>
        <v>Abdullah Waleed bin Maneea</v>
      </c>
      <c r="M3" s="17">
        <f t="shared" ref="M3:M6" si="3">SUMIF($E$2:$E$100,L3,$C$2:$C$100)</f>
        <v>0</v>
      </c>
      <c r="N3" s="20">
        <f t="shared" ref="N3:N6" si="4">SUMIFS($C$2:$C$100, $E$2:$E$100,L3,$F$2:$F$100,"Done" )</f>
        <v>0</v>
      </c>
      <c r="O3" s="21">
        <f t="shared" ref="O3:O6" si="5">IFERROR(N3/M3, 0)</f>
        <v>0</v>
      </c>
      <c r="Q3" s="14">
        <f t="shared" ref="Q3:Q100" si="6">IF(ISNUMBER(Q2),IF(Q2-$J$3&lt;$J$4,Q2+1,""),"")</f>
        <v>43555</v>
      </c>
      <c r="R3" s="9">
        <f t="shared" si="1"/>
        <v>0</v>
      </c>
      <c r="S3" s="9">
        <f t="shared" ref="S3:S100" si="7">SUM($R$2:R3)</f>
        <v>0</v>
      </c>
      <c r="T3" s="18">
        <f t="shared" si="2"/>
        <v>0</v>
      </c>
      <c r="U3" s="22">
        <f t="shared" ref="U3:U100" si="8">IF(ISNUMBER(Q3),MAX(U2-$J$5,0),"")</f>
        <v>0</v>
      </c>
    </row>
    <row r="4" ht="15.75" customHeight="1">
      <c r="C4" s="9"/>
      <c r="D4" s="9"/>
      <c r="E4" s="3"/>
      <c r="F4" s="3" t="s">
        <v>164</v>
      </c>
      <c r="G4" s="4"/>
      <c r="H4" s="3"/>
      <c r="I4" s="16" t="s">
        <v>155</v>
      </c>
      <c r="J4" s="16">
        <v>14.0</v>
      </c>
      <c r="L4" s="17" t="str">
        <f>'Team Members'!A3</f>
        <v>Abdullah Yousef aldhayan</v>
      </c>
      <c r="M4" s="17">
        <f t="shared" si="3"/>
        <v>0</v>
      </c>
      <c r="N4" s="20">
        <f t="shared" si="4"/>
        <v>0</v>
      </c>
      <c r="O4" s="21">
        <f t="shared" si="5"/>
        <v>0</v>
      </c>
      <c r="Q4" s="14">
        <f t="shared" si="6"/>
        <v>43556</v>
      </c>
      <c r="R4" s="9">
        <f t="shared" si="1"/>
        <v>0</v>
      </c>
      <c r="S4" s="9">
        <f t="shared" si="7"/>
        <v>0</v>
      </c>
      <c r="T4" s="18">
        <f t="shared" si="2"/>
        <v>0</v>
      </c>
      <c r="U4" s="22">
        <f t="shared" si="8"/>
        <v>0</v>
      </c>
    </row>
    <row r="5" ht="15.75" customHeight="1">
      <c r="C5" s="9"/>
      <c r="D5" s="9"/>
      <c r="E5" s="3"/>
      <c r="F5" s="3" t="s">
        <v>164</v>
      </c>
      <c r="G5" s="4"/>
      <c r="H5" s="3"/>
      <c r="I5" s="16" t="s">
        <v>157</v>
      </c>
      <c r="J5" s="23">
        <f>SUM($C$2:$C$100)/$J$4</f>
        <v>0</v>
      </c>
      <c r="L5" s="17" t="str">
        <f>'Team Members'!A4</f>
        <v>Abdullah Ibrahim aloud</v>
      </c>
      <c r="M5" s="17">
        <f t="shared" si="3"/>
        <v>0</v>
      </c>
      <c r="N5" s="20">
        <f t="shared" si="4"/>
        <v>0</v>
      </c>
      <c r="O5" s="21">
        <f t="shared" si="5"/>
        <v>0</v>
      </c>
      <c r="Q5" s="14">
        <f t="shared" si="6"/>
        <v>43557</v>
      </c>
      <c r="R5" s="9">
        <f t="shared" si="1"/>
        <v>0</v>
      </c>
      <c r="S5" s="9">
        <f t="shared" si="7"/>
        <v>0</v>
      </c>
      <c r="T5" s="18">
        <f t="shared" si="2"/>
        <v>0</v>
      </c>
      <c r="U5" s="22">
        <f t="shared" si="8"/>
        <v>0</v>
      </c>
    </row>
    <row r="6" ht="15.75" customHeight="1">
      <c r="C6" s="9"/>
      <c r="D6" s="9"/>
      <c r="E6" s="3"/>
      <c r="F6" s="3" t="s">
        <v>164</v>
      </c>
      <c r="G6" s="4"/>
      <c r="H6" s="3"/>
      <c r="L6" s="17" t="str">
        <f>'Team Members'!A5</f>
        <v>Fahad Ali alghubayshi</v>
      </c>
      <c r="M6" s="17">
        <f t="shared" si="3"/>
        <v>0</v>
      </c>
      <c r="N6" s="20">
        <f t="shared" si="4"/>
        <v>0</v>
      </c>
      <c r="O6" s="21">
        <f t="shared" si="5"/>
        <v>0</v>
      </c>
      <c r="Q6" s="14">
        <f t="shared" si="6"/>
        <v>43558</v>
      </c>
      <c r="R6" s="9">
        <f t="shared" si="1"/>
        <v>0</v>
      </c>
      <c r="S6" s="9">
        <f t="shared" si="7"/>
        <v>0</v>
      </c>
      <c r="T6" s="18">
        <f t="shared" si="2"/>
        <v>0</v>
      </c>
      <c r="U6" s="22">
        <f t="shared" si="8"/>
        <v>0</v>
      </c>
    </row>
    <row r="7" ht="15.75" customHeight="1">
      <c r="C7" s="9"/>
      <c r="D7" s="9"/>
      <c r="E7" s="3"/>
      <c r="F7" s="3" t="s">
        <v>164</v>
      </c>
      <c r="G7" s="4"/>
      <c r="H7" s="3"/>
      <c r="L7" s="17"/>
      <c r="M7" s="17"/>
      <c r="N7" s="20"/>
      <c r="O7" s="21"/>
      <c r="Q7" s="14">
        <f t="shared" si="6"/>
        <v>43559</v>
      </c>
      <c r="R7" s="9">
        <f t="shared" si="1"/>
        <v>0</v>
      </c>
      <c r="S7" s="9">
        <f t="shared" si="7"/>
        <v>0</v>
      </c>
      <c r="T7" s="18">
        <f t="shared" si="2"/>
        <v>0</v>
      </c>
      <c r="U7" s="22">
        <f t="shared" si="8"/>
        <v>0</v>
      </c>
    </row>
    <row r="8" ht="15.75" customHeight="1">
      <c r="C8" s="9"/>
      <c r="D8" s="9"/>
      <c r="E8" s="3"/>
      <c r="F8" s="3" t="s">
        <v>164</v>
      </c>
      <c r="G8" s="4"/>
      <c r="H8" s="3"/>
      <c r="L8" s="17"/>
      <c r="M8" s="17"/>
      <c r="N8" s="20"/>
      <c r="O8" s="21"/>
      <c r="Q8" s="14">
        <f t="shared" si="6"/>
        <v>43560</v>
      </c>
      <c r="R8" s="9">
        <f t="shared" si="1"/>
        <v>0</v>
      </c>
      <c r="S8" s="9">
        <f t="shared" si="7"/>
        <v>0</v>
      </c>
      <c r="T8" s="18">
        <f t="shared" si="2"/>
        <v>0</v>
      </c>
      <c r="U8" s="22">
        <f t="shared" si="8"/>
        <v>0</v>
      </c>
    </row>
    <row r="9" ht="15.75" customHeight="1">
      <c r="C9" s="3"/>
      <c r="D9" s="3"/>
      <c r="E9" s="3"/>
      <c r="F9" s="3" t="s">
        <v>164</v>
      </c>
      <c r="G9" s="4"/>
      <c r="M9" s="17"/>
      <c r="Q9" s="14">
        <f t="shared" si="6"/>
        <v>43561</v>
      </c>
      <c r="R9" s="9">
        <f t="shared" si="1"/>
        <v>0</v>
      </c>
      <c r="S9" s="9">
        <f t="shared" si="7"/>
        <v>0</v>
      </c>
      <c r="T9" s="18">
        <f t="shared" si="2"/>
        <v>0</v>
      </c>
      <c r="U9" s="22">
        <f t="shared" si="8"/>
        <v>0</v>
      </c>
    </row>
    <row r="10" ht="15.75" customHeight="1">
      <c r="A10" s="3"/>
      <c r="B10" s="3"/>
      <c r="C10" s="3"/>
      <c r="D10" s="3"/>
      <c r="E10" s="3"/>
      <c r="F10" s="3" t="s">
        <v>164</v>
      </c>
      <c r="G10" s="4"/>
      <c r="H10" s="15"/>
      <c r="L10" s="24" t="s">
        <v>163</v>
      </c>
      <c r="M10" s="25">
        <f t="shared" ref="M10:N10" si="9">SUM(M3:M6)</f>
        <v>0</v>
      </c>
      <c r="N10" s="25">
        <f t="shared" si="9"/>
        <v>0</v>
      </c>
      <c r="O10" s="26">
        <f>IFERROR(N10/M10, 0)</f>
        <v>0</v>
      </c>
      <c r="Q10" s="14">
        <f t="shared" si="6"/>
        <v>43562</v>
      </c>
      <c r="R10" s="9">
        <f t="shared" si="1"/>
        <v>0</v>
      </c>
      <c r="S10" s="9">
        <f t="shared" si="7"/>
        <v>0</v>
      </c>
      <c r="T10" s="18">
        <f t="shared" si="2"/>
        <v>0</v>
      </c>
      <c r="U10" s="22">
        <f t="shared" si="8"/>
        <v>0</v>
      </c>
    </row>
    <row r="11" ht="15.75" customHeight="1">
      <c r="A11" s="3"/>
      <c r="B11" s="3"/>
      <c r="C11" s="3"/>
      <c r="D11" s="3"/>
      <c r="E11" s="3"/>
      <c r="F11" s="3" t="s">
        <v>164</v>
      </c>
      <c r="G11" s="4"/>
      <c r="Q11" s="14">
        <f t="shared" si="6"/>
        <v>43563</v>
      </c>
      <c r="R11" s="9">
        <f t="shared" si="1"/>
        <v>0</v>
      </c>
      <c r="S11" s="9">
        <f t="shared" si="7"/>
        <v>0</v>
      </c>
      <c r="T11" s="18">
        <f t="shared" si="2"/>
        <v>0</v>
      </c>
      <c r="U11" s="22">
        <f t="shared" si="8"/>
        <v>0</v>
      </c>
    </row>
    <row r="12" ht="15.75" customHeight="1">
      <c r="C12" s="3"/>
      <c r="D12" s="3"/>
      <c r="E12" s="3"/>
      <c r="F12" s="3" t="s">
        <v>164</v>
      </c>
      <c r="G12" s="4"/>
      <c r="Q12" s="14">
        <f t="shared" si="6"/>
        <v>43564</v>
      </c>
      <c r="R12" s="9">
        <f t="shared" si="1"/>
        <v>0</v>
      </c>
      <c r="S12" s="9">
        <f t="shared" si="7"/>
        <v>0</v>
      </c>
      <c r="T12" s="18">
        <f t="shared" si="2"/>
        <v>0</v>
      </c>
      <c r="U12" s="22">
        <f t="shared" si="8"/>
        <v>0</v>
      </c>
    </row>
    <row r="13" ht="15.75" customHeight="1">
      <c r="C13" s="3"/>
      <c r="D13" s="3"/>
      <c r="E13" s="3"/>
      <c r="F13" s="3" t="s">
        <v>164</v>
      </c>
      <c r="G13" s="4"/>
      <c r="Q13" s="14">
        <f t="shared" si="6"/>
        <v>43565</v>
      </c>
      <c r="R13" s="9">
        <f t="shared" si="1"/>
        <v>0</v>
      </c>
      <c r="S13" s="9">
        <f t="shared" si="7"/>
        <v>0</v>
      </c>
      <c r="T13" s="18">
        <f t="shared" si="2"/>
        <v>0</v>
      </c>
      <c r="U13" s="22">
        <f t="shared" si="8"/>
        <v>0</v>
      </c>
    </row>
    <row r="14" ht="15.75" customHeight="1">
      <c r="C14" s="3"/>
      <c r="D14" s="3"/>
      <c r="E14" s="3"/>
      <c r="F14" s="3" t="s">
        <v>164</v>
      </c>
      <c r="G14" s="4"/>
      <c r="Q14" s="14">
        <f t="shared" si="6"/>
        <v>43566</v>
      </c>
      <c r="R14" s="9">
        <f t="shared" si="1"/>
        <v>0</v>
      </c>
      <c r="S14" s="9">
        <f t="shared" si="7"/>
        <v>0</v>
      </c>
      <c r="T14" s="18">
        <f t="shared" si="2"/>
        <v>0</v>
      </c>
      <c r="U14" s="22">
        <f t="shared" si="8"/>
        <v>0</v>
      </c>
    </row>
    <row r="15" ht="15.75" customHeight="1">
      <c r="C15" s="3"/>
      <c r="D15" s="3"/>
      <c r="E15" s="3"/>
      <c r="F15" s="3" t="s">
        <v>164</v>
      </c>
      <c r="G15" s="4"/>
      <c r="Q15" s="14">
        <f t="shared" si="6"/>
        <v>43567</v>
      </c>
      <c r="R15" s="9">
        <f t="shared" si="1"/>
        <v>0</v>
      </c>
      <c r="S15" s="9">
        <f t="shared" si="7"/>
        <v>0</v>
      </c>
      <c r="T15" s="18">
        <f t="shared" si="2"/>
        <v>0</v>
      </c>
      <c r="U15" s="22">
        <f t="shared" si="8"/>
        <v>0</v>
      </c>
    </row>
    <row r="16" ht="15.75" customHeight="1">
      <c r="C16" s="3"/>
      <c r="D16" s="3"/>
      <c r="E16" s="3"/>
      <c r="F16" s="3" t="s">
        <v>164</v>
      </c>
      <c r="G16" s="4"/>
      <c r="Q16" s="14">
        <f t="shared" si="6"/>
        <v>43568</v>
      </c>
      <c r="R16" s="9">
        <f t="shared" si="1"/>
        <v>0</v>
      </c>
      <c r="S16" s="9">
        <f t="shared" si="7"/>
        <v>0</v>
      </c>
      <c r="T16" s="18">
        <f t="shared" si="2"/>
        <v>0</v>
      </c>
      <c r="U16" s="22">
        <f t="shared" si="8"/>
        <v>0</v>
      </c>
    </row>
    <row r="17" ht="15.75" customHeight="1">
      <c r="C17" s="3"/>
      <c r="D17" s="3"/>
      <c r="E17" s="3"/>
      <c r="F17" s="3" t="s">
        <v>164</v>
      </c>
      <c r="G17" s="4"/>
      <c r="Q17" s="27" t="str">
        <f t="shared" si="6"/>
        <v/>
      </c>
      <c r="R17" s="9">
        <f t="shared" si="1"/>
        <v>0</v>
      </c>
      <c r="S17" s="9">
        <f t="shared" si="7"/>
        <v>0</v>
      </c>
      <c r="T17" s="18" t="str">
        <f t="shared" si="2"/>
        <v/>
      </c>
      <c r="U17" s="22" t="str">
        <f t="shared" si="8"/>
        <v/>
      </c>
    </row>
    <row r="18" ht="15.75" customHeight="1">
      <c r="C18" s="3"/>
      <c r="D18" s="3"/>
      <c r="E18" s="3"/>
      <c r="F18" s="3" t="s">
        <v>164</v>
      </c>
      <c r="G18" s="4"/>
      <c r="Q18" s="27" t="str">
        <f t="shared" si="6"/>
        <v/>
      </c>
      <c r="R18" s="9">
        <f t="shared" si="1"/>
        <v>0</v>
      </c>
      <c r="S18" s="9">
        <f t="shared" si="7"/>
        <v>0</v>
      </c>
      <c r="T18" s="18" t="str">
        <f t="shared" si="2"/>
        <v/>
      </c>
      <c r="U18" s="22" t="str">
        <f t="shared" si="8"/>
        <v/>
      </c>
    </row>
    <row r="19" ht="15.75" customHeight="1">
      <c r="C19" s="3"/>
      <c r="D19" s="3"/>
      <c r="E19" s="3"/>
      <c r="F19" s="3" t="s">
        <v>164</v>
      </c>
      <c r="G19" s="4"/>
      <c r="Q19" s="27" t="str">
        <f t="shared" si="6"/>
        <v/>
      </c>
      <c r="R19" s="9">
        <f t="shared" si="1"/>
        <v>0</v>
      </c>
      <c r="S19" s="9">
        <f t="shared" si="7"/>
        <v>0</v>
      </c>
      <c r="T19" s="18" t="str">
        <f t="shared" si="2"/>
        <v/>
      </c>
      <c r="U19" s="22" t="str">
        <f t="shared" si="8"/>
        <v/>
      </c>
    </row>
    <row r="20" ht="15.75" customHeight="1">
      <c r="C20" s="3"/>
      <c r="D20" s="3"/>
      <c r="E20" s="3"/>
      <c r="F20" s="3" t="s">
        <v>164</v>
      </c>
      <c r="G20" s="4"/>
      <c r="Q20" s="27" t="str">
        <f t="shared" si="6"/>
        <v/>
      </c>
      <c r="R20" s="9">
        <f t="shared" si="1"/>
        <v>0</v>
      </c>
      <c r="S20" s="9">
        <f t="shared" si="7"/>
        <v>0</v>
      </c>
      <c r="T20" s="18" t="str">
        <f t="shared" si="2"/>
        <v/>
      </c>
      <c r="U20" s="22" t="str">
        <f t="shared" si="8"/>
        <v/>
      </c>
    </row>
    <row r="21" ht="15.75" customHeight="1">
      <c r="C21" s="3"/>
      <c r="D21" s="3"/>
      <c r="E21" s="3"/>
      <c r="F21" s="3" t="s">
        <v>164</v>
      </c>
      <c r="G21" s="4"/>
      <c r="Q21" s="27" t="str">
        <f t="shared" si="6"/>
        <v/>
      </c>
      <c r="R21" s="9">
        <f t="shared" si="1"/>
        <v>0</v>
      </c>
      <c r="S21" s="9">
        <f t="shared" si="7"/>
        <v>0</v>
      </c>
      <c r="T21" s="18" t="str">
        <f t="shared" si="2"/>
        <v/>
      </c>
      <c r="U21" s="22" t="str">
        <f t="shared" si="8"/>
        <v/>
      </c>
    </row>
    <row r="22" ht="15.75" customHeight="1">
      <c r="C22" s="3"/>
      <c r="D22" s="3"/>
      <c r="E22" s="3"/>
      <c r="F22" s="3" t="s">
        <v>164</v>
      </c>
      <c r="G22" s="4"/>
      <c r="Q22" s="27" t="str">
        <f t="shared" si="6"/>
        <v/>
      </c>
      <c r="R22" s="9">
        <f t="shared" si="1"/>
        <v>0</v>
      </c>
      <c r="S22" s="9">
        <f t="shared" si="7"/>
        <v>0</v>
      </c>
      <c r="T22" s="18" t="str">
        <f t="shared" si="2"/>
        <v/>
      </c>
      <c r="U22" s="22" t="str">
        <f t="shared" si="8"/>
        <v/>
      </c>
    </row>
    <row r="23" ht="15.75" customHeight="1">
      <c r="C23" s="3"/>
      <c r="D23" s="3"/>
      <c r="E23" s="3"/>
      <c r="F23" s="3" t="s">
        <v>164</v>
      </c>
      <c r="G23" s="4"/>
      <c r="Q23" s="27" t="str">
        <f t="shared" si="6"/>
        <v/>
      </c>
      <c r="R23" s="9">
        <f t="shared" si="1"/>
        <v>0</v>
      </c>
      <c r="S23" s="9">
        <f t="shared" si="7"/>
        <v>0</v>
      </c>
      <c r="T23" s="18" t="str">
        <f t="shared" si="2"/>
        <v/>
      </c>
      <c r="U23" s="22" t="str">
        <f t="shared" si="8"/>
        <v/>
      </c>
    </row>
    <row r="24" ht="15.75" customHeight="1">
      <c r="C24" s="3"/>
      <c r="D24" s="3"/>
      <c r="E24" s="3"/>
      <c r="F24" s="3" t="s">
        <v>164</v>
      </c>
      <c r="G24" s="4"/>
      <c r="Q24" s="27" t="str">
        <f t="shared" si="6"/>
        <v/>
      </c>
      <c r="R24" s="9">
        <f t="shared" si="1"/>
        <v>0</v>
      </c>
      <c r="S24" s="9">
        <f t="shared" si="7"/>
        <v>0</v>
      </c>
      <c r="T24" s="18" t="str">
        <f t="shared" si="2"/>
        <v/>
      </c>
      <c r="U24" s="22" t="str">
        <f t="shared" si="8"/>
        <v/>
      </c>
    </row>
    <row r="25" ht="15.75" customHeight="1">
      <c r="C25" s="3"/>
      <c r="D25" s="3"/>
      <c r="E25" s="3"/>
      <c r="F25" s="3" t="s">
        <v>164</v>
      </c>
      <c r="G25" s="4"/>
      <c r="Q25" s="27" t="str">
        <f t="shared" si="6"/>
        <v/>
      </c>
      <c r="R25" s="9">
        <f t="shared" si="1"/>
        <v>0</v>
      </c>
      <c r="S25" s="9">
        <f t="shared" si="7"/>
        <v>0</v>
      </c>
      <c r="T25" s="18" t="str">
        <f t="shared" si="2"/>
        <v/>
      </c>
      <c r="U25" s="22" t="str">
        <f t="shared" si="8"/>
        <v/>
      </c>
    </row>
    <row r="26" ht="15.75" customHeight="1">
      <c r="C26" s="3"/>
      <c r="D26" s="3"/>
      <c r="E26" s="3"/>
      <c r="F26" s="3" t="s">
        <v>164</v>
      </c>
      <c r="G26" s="4"/>
      <c r="Q26" s="27" t="str">
        <f t="shared" si="6"/>
        <v/>
      </c>
      <c r="R26" s="9">
        <f t="shared" si="1"/>
        <v>0</v>
      </c>
      <c r="S26" s="9">
        <f t="shared" si="7"/>
        <v>0</v>
      </c>
      <c r="T26" s="18" t="str">
        <f t="shared" si="2"/>
        <v/>
      </c>
      <c r="U26" s="22" t="str">
        <f t="shared" si="8"/>
        <v/>
      </c>
    </row>
    <row r="27" ht="15.75" customHeight="1">
      <c r="C27" s="3"/>
      <c r="D27" s="3"/>
      <c r="E27" s="3"/>
      <c r="F27" s="3" t="s">
        <v>164</v>
      </c>
      <c r="G27" s="4"/>
      <c r="Q27" s="27" t="str">
        <f t="shared" si="6"/>
        <v/>
      </c>
      <c r="R27" s="9">
        <f t="shared" si="1"/>
        <v>0</v>
      </c>
      <c r="S27" s="9">
        <f t="shared" si="7"/>
        <v>0</v>
      </c>
      <c r="T27" s="18" t="str">
        <f t="shared" si="2"/>
        <v/>
      </c>
      <c r="U27" s="22" t="str">
        <f t="shared" si="8"/>
        <v/>
      </c>
    </row>
    <row r="28" ht="15.75" customHeight="1">
      <c r="C28" s="3"/>
      <c r="D28" s="3"/>
      <c r="E28" s="3"/>
      <c r="F28" s="3" t="s">
        <v>164</v>
      </c>
      <c r="G28" s="4"/>
      <c r="Q28" s="27" t="str">
        <f t="shared" si="6"/>
        <v/>
      </c>
      <c r="R28" s="9">
        <f t="shared" si="1"/>
        <v>0</v>
      </c>
      <c r="S28" s="9">
        <f t="shared" si="7"/>
        <v>0</v>
      </c>
      <c r="T28" s="18" t="str">
        <f t="shared" si="2"/>
        <v/>
      </c>
      <c r="U28" s="22" t="str">
        <f t="shared" si="8"/>
        <v/>
      </c>
    </row>
    <row r="29" ht="15.75" customHeight="1">
      <c r="C29" s="3"/>
      <c r="D29" s="3"/>
      <c r="E29" s="3"/>
      <c r="F29" s="3" t="s">
        <v>164</v>
      </c>
      <c r="G29" s="4"/>
      <c r="Q29" s="27" t="str">
        <f t="shared" si="6"/>
        <v/>
      </c>
      <c r="R29" s="9">
        <f t="shared" si="1"/>
        <v>0</v>
      </c>
      <c r="S29" s="9">
        <f t="shared" si="7"/>
        <v>0</v>
      </c>
      <c r="T29" s="18" t="str">
        <f t="shared" si="2"/>
        <v/>
      </c>
      <c r="U29" s="22" t="str">
        <f t="shared" si="8"/>
        <v/>
      </c>
    </row>
    <row r="30" ht="15.75" customHeight="1">
      <c r="C30" s="3"/>
      <c r="D30" s="3"/>
      <c r="E30" s="3"/>
      <c r="F30" s="3" t="s">
        <v>164</v>
      </c>
      <c r="G30" s="4"/>
      <c r="Q30" s="27" t="str">
        <f t="shared" si="6"/>
        <v/>
      </c>
      <c r="R30" s="9">
        <f t="shared" si="1"/>
        <v>0</v>
      </c>
      <c r="S30" s="9">
        <f t="shared" si="7"/>
        <v>0</v>
      </c>
      <c r="T30" s="18" t="str">
        <f t="shared" si="2"/>
        <v/>
      </c>
      <c r="U30" s="22" t="str">
        <f t="shared" si="8"/>
        <v/>
      </c>
    </row>
    <row r="31" ht="15.75" customHeight="1">
      <c r="C31" s="3"/>
      <c r="D31" s="3"/>
      <c r="E31" s="3"/>
      <c r="F31" s="3" t="s">
        <v>164</v>
      </c>
      <c r="G31" s="4"/>
      <c r="Q31" s="27" t="str">
        <f t="shared" si="6"/>
        <v/>
      </c>
      <c r="R31" s="9">
        <f t="shared" si="1"/>
        <v>0</v>
      </c>
      <c r="S31" s="9">
        <f t="shared" si="7"/>
        <v>0</v>
      </c>
      <c r="T31" s="18" t="str">
        <f t="shared" si="2"/>
        <v/>
      </c>
      <c r="U31" s="22" t="str">
        <f t="shared" si="8"/>
        <v/>
      </c>
    </row>
    <row r="32" ht="15.75" customHeight="1">
      <c r="C32" s="3"/>
      <c r="D32" s="3"/>
      <c r="E32" s="3"/>
      <c r="F32" s="3" t="s">
        <v>164</v>
      </c>
      <c r="G32" s="4"/>
      <c r="Q32" s="27" t="str">
        <f t="shared" si="6"/>
        <v/>
      </c>
      <c r="R32" s="9">
        <f t="shared" si="1"/>
        <v>0</v>
      </c>
      <c r="S32" s="9">
        <f t="shared" si="7"/>
        <v>0</v>
      </c>
      <c r="T32" s="18" t="str">
        <f t="shared" si="2"/>
        <v/>
      </c>
      <c r="U32" s="22" t="str">
        <f t="shared" si="8"/>
        <v/>
      </c>
    </row>
    <row r="33" ht="15.75" customHeight="1">
      <c r="C33" s="3"/>
      <c r="D33" s="3"/>
      <c r="E33" s="3"/>
      <c r="F33" s="3" t="s">
        <v>164</v>
      </c>
      <c r="G33" s="4"/>
      <c r="Q33" s="27" t="str">
        <f t="shared" si="6"/>
        <v/>
      </c>
      <c r="R33" s="9">
        <f t="shared" si="1"/>
        <v>0</v>
      </c>
      <c r="S33" s="9">
        <f t="shared" si="7"/>
        <v>0</v>
      </c>
      <c r="T33" s="18" t="str">
        <f t="shared" si="2"/>
        <v/>
      </c>
      <c r="U33" s="22" t="str">
        <f t="shared" si="8"/>
        <v/>
      </c>
    </row>
    <row r="34" ht="15.75" customHeight="1">
      <c r="C34" s="3"/>
      <c r="D34" s="3"/>
      <c r="E34" s="3"/>
      <c r="F34" s="3" t="s">
        <v>164</v>
      </c>
      <c r="G34" s="4"/>
      <c r="Q34" s="27" t="str">
        <f t="shared" si="6"/>
        <v/>
      </c>
      <c r="R34" s="9">
        <f t="shared" si="1"/>
        <v>0</v>
      </c>
      <c r="S34" s="9">
        <f t="shared" si="7"/>
        <v>0</v>
      </c>
      <c r="T34" s="18" t="str">
        <f t="shared" si="2"/>
        <v/>
      </c>
      <c r="U34" s="22" t="str">
        <f t="shared" si="8"/>
        <v/>
      </c>
    </row>
    <row r="35" ht="15.75" customHeight="1">
      <c r="C35" s="3"/>
      <c r="D35" s="3"/>
      <c r="E35" s="3"/>
      <c r="F35" s="3" t="s">
        <v>164</v>
      </c>
      <c r="G35" s="4"/>
      <c r="Q35" s="27" t="str">
        <f t="shared" si="6"/>
        <v/>
      </c>
      <c r="R35" s="9">
        <f t="shared" si="1"/>
        <v>0</v>
      </c>
      <c r="S35" s="9">
        <f t="shared" si="7"/>
        <v>0</v>
      </c>
      <c r="T35" s="18" t="str">
        <f t="shared" si="2"/>
        <v/>
      </c>
      <c r="U35" s="22" t="str">
        <f t="shared" si="8"/>
        <v/>
      </c>
    </row>
    <row r="36" ht="15.75" customHeight="1">
      <c r="C36" s="3"/>
      <c r="D36" s="3"/>
      <c r="E36" s="3"/>
      <c r="F36" s="3" t="s">
        <v>164</v>
      </c>
      <c r="G36" s="4"/>
      <c r="Q36" s="27" t="str">
        <f t="shared" si="6"/>
        <v/>
      </c>
      <c r="R36" s="9">
        <f t="shared" si="1"/>
        <v>0</v>
      </c>
      <c r="S36" s="9">
        <f t="shared" si="7"/>
        <v>0</v>
      </c>
      <c r="T36" s="18" t="str">
        <f t="shared" si="2"/>
        <v/>
      </c>
      <c r="U36" s="22" t="str">
        <f t="shared" si="8"/>
        <v/>
      </c>
    </row>
    <row r="37" ht="15.75" customHeight="1">
      <c r="C37" s="3"/>
      <c r="D37" s="3"/>
      <c r="E37" s="3"/>
      <c r="F37" s="3" t="s">
        <v>164</v>
      </c>
      <c r="G37" s="4"/>
      <c r="Q37" s="27" t="str">
        <f t="shared" si="6"/>
        <v/>
      </c>
      <c r="R37" s="9">
        <f t="shared" si="1"/>
        <v>0</v>
      </c>
      <c r="S37" s="9">
        <f t="shared" si="7"/>
        <v>0</v>
      </c>
      <c r="T37" s="18" t="str">
        <f t="shared" si="2"/>
        <v/>
      </c>
      <c r="U37" s="22" t="str">
        <f t="shared" si="8"/>
        <v/>
      </c>
    </row>
    <row r="38" ht="15.75" customHeight="1">
      <c r="C38" s="3"/>
      <c r="D38" s="3"/>
      <c r="E38" s="3"/>
      <c r="F38" s="3" t="s">
        <v>164</v>
      </c>
      <c r="G38" s="4"/>
      <c r="Q38" s="27" t="str">
        <f t="shared" si="6"/>
        <v/>
      </c>
      <c r="R38" s="9">
        <f t="shared" si="1"/>
        <v>0</v>
      </c>
      <c r="S38" s="9">
        <f t="shared" si="7"/>
        <v>0</v>
      </c>
      <c r="T38" s="18" t="str">
        <f t="shared" si="2"/>
        <v/>
      </c>
      <c r="U38" s="22" t="str">
        <f t="shared" si="8"/>
        <v/>
      </c>
    </row>
    <row r="39" ht="15.75" customHeight="1">
      <c r="C39" s="3"/>
      <c r="D39" s="3"/>
      <c r="E39" s="3"/>
      <c r="F39" s="3" t="s">
        <v>164</v>
      </c>
      <c r="G39" s="4"/>
      <c r="Q39" s="27" t="str">
        <f t="shared" si="6"/>
        <v/>
      </c>
      <c r="R39" s="9">
        <f t="shared" si="1"/>
        <v>0</v>
      </c>
      <c r="S39" s="9">
        <f t="shared" si="7"/>
        <v>0</v>
      </c>
      <c r="T39" s="18" t="str">
        <f t="shared" si="2"/>
        <v/>
      </c>
      <c r="U39" s="22" t="str">
        <f t="shared" si="8"/>
        <v/>
      </c>
    </row>
    <row r="40" ht="15.75" customHeight="1">
      <c r="C40" s="3"/>
      <c r="D40" s="3"/>
      <c r="E40" s="3"/>
      <c r="F40" s="3" t="s">
        <v>164</v>
      </c>
      <c r="G40" s="4"/>
      <c r="Q40" s="27" t="str">
        <f t="shared" si="6"/>
        <v/>
      </c>
      <c r="R40" s="9">
        <f t="shared" si="1"/>
        <v>0</v>
      </c>
      <c r="S40" s="9">
        <f t="shared" si="7"/>
        <v>0</v>
      </c>
      <c r="T40" s="18" t="str">
        <f t="shared" si="2"/>
        <v/>
      </c>
      <c r="U40" s="22" t="str">
        <f t="shared" si="8"/>
        <v/>
      </c>
    </row>
    <row r="41" ht="15.75" customHeight="1">
      <c r="C41" s="3"/>
      <c r="D41" s="3"/>
      <c r="E41" s="3"/>
      <c r="F41" s="3" t="s">
        <v>164</v>
      </c>
      <c r="G41" s="4"/>
      <c r="Q41" s="28" t="str">
        <f t="shared" si="6"/>
        <v/>
      </c>
      <c r="R41" s="29">
        <f t="shared" si="1"/>
        <v>0</v>
      </c>
      <c r="S41" s="29">
        <f t="shared" si="7"/>
        <v>0</v>
      </c>
      <c r="T41" s="29" t="str">
        <f t="shared" si="2"/>
        <v/>
      </c>
      <c r="U41" s="29" t="str">
        <f t="shared" si="8"/>
        <v/>
      </c>
    </row>
    <row r="42" ht="15.75" customHeight="1">
      <c r="C42" s="3"/>
      <c r="D42" s="3"/>
      <c r="E42" s="3"/>
      <c r="F42" s="3" t="s">
        <v>164</v>
      </c>
      <c r="G42" s="4"/>
      <c r="Q42" s="28" t="str">
        <f t="shared" si="6"/>
        <v/>
      </c>
      <c r="R42" s="29">
        <f t="shared" si="1"/>
        <v>0</v>
      </c>
      <c r="S42" s="29">
        <f t="shared" si="7"/>
        <v>0</v>
      </c>
      <c r="T42" s="29" t="str">
        <f t="shared" si="2"/>
        <v/>
      </c>
      <c r="U42" s="29" t="str">
        <f t="shared" si="8"/>
        <v/>
      </c>
    </row>
    <row r="43" ht="15.75" customHeight="1">
      <c r="C43" s="3"/>
      <c r="D43" s="3"/>
      <c r="E43" s="3"/>
      <c r="F43" s="3" t="s">
        <v>164</v>
      </c>
      <c r="G43" s="4"/>
      <c r="Q43" s="28" t="str">
        <f t="shared" si="6"/>
        <v/>
      </c>
      <c r="R43" s="29">
        <f t="shared" si="1"/>
        <v>0</v>
      </c>
      <c r="S43" s="29">
        <f t="shared" si="7"/>
        <v>0</v>
      </c>
      <c r="T43" s="29" t="str">
        <f t="shared" si="2"/>
        <v/>
      </c>
      <c r="U43" s="29" t="str">
        <f t="shared" si="8"/>
        <v/>
      </c>
    </row>
    <row r="44" ht="15.75" customHeight="1">
      <c r="C44" s="3"/>
      <c r="D44" s="3"/>
      <c r="E44" s="3"/>
      <c r="F44" s="3" t="s">
        <v>164</v>
      </c>
      <c r="G44" s="4"/>
      <c r="Q44" s="28" t="str">
        <f t="shared" si="6"/>
        <v/>
      </c>
      <c r="R44" s="29">
        <f t="shared" si="1"/>
        <v>0</v>
      </c>
      <c r="S44" s="29">
        <f t="shared" si="7"/>
        <v>0</v>
      </c>
      <c r="T44" s="29" t="str">
        <f t="shared" si="2"/>
        <v/>
      </c>
      <c r="U44" s="29" t="str">
        <f t="shared" si="8"/>
        <v/>
      </c>
    </row>
    <row r="45" ht="15.75" customHeight="1">
      <c r="C45" s="3"/>
      <c r="D45" s="3"/>
      <c r="E45" s="3"/>
      <c r="F45" s="3" t="s">
        <v>164</v>
      </c>
      <c r="G45" s="4"/>
      <c r="Q45" s="28" t="str">
        <f t="shared" si="6"/>
        <v/>
      </c>
      <c r="R45" s="29">
        <f t="shared" si="1"/>
        <v>0</v>
      </c>
      <c r="S45" s="29">
        <f t="shared" si="7"/>
        <v>0</v>
      </c>
      <c r="T45" s="29" t="str">
        <f t="shared" si="2"/>
        <v/>
      </c>
      <c r="U45" s="29" t="str">
        <f t="shared" si="8"/>
        <v/>
      </c>
    </row>
    <row r="46" ht="12.75" customHeight="1">
      <c r="C46" s="3"/>
      <c r="D46" s="3"/>
      <c r="E46" s="3"/>
      <c r="F46" s="3" t="s">
        <v>164</v>
      </c>
      <c r="G46" s="4"/>
      <c r="Q46" s="28" t="str">
        <f t="shared" si="6"/>
        <v/>
      </c>
      <c r="R46" s="29">
        <f t="shared" si="1"/>
        <v>0</v>
      </c>
      <c r="S46" s="29">
        <f t="shared" si="7"/>
        <v>0</v>
      </c>
      <c r="T46" s="29" t="str">
        <f t="shared" si="2"/>
        <v/>
      </c>
      <c r="U46" s="29" t="str">
        <f t="shared" si="8"/>
        <v/>
      </c>
    </row>
    <row r="47" ht="12.75" customHeight="1">
      <c r="C47" s="3"/>
      <c r="D47" s="3"/>
      <c r="E47" s="3"/>
      <c r="F47" s="3" t="s">
        <v>164</v>
      </c>
      <c r="G47" s="4"/>
      <c r="Q47" s="28" t="str">
        <f t="shared" si="6"/>
        <v/>
      </c>
      <c r="R47" s="29">
        <f t="shared" si="1"/>
        <v>0</v>
      </c>
      <c r="S47" s="29">
        <f t="shared" si="7"/>
        <v>0</v>
      </c>
      <c r="T47" s="29" t="str">
        <f t="shared" si="2"/>
        <v/>
      </c>
      <c r="U47" s="29" t="str">
        <f t="shared" si="8"/>
        <v/>
      </c>
    </row>
    <row r="48" ht="12.75" customHeight="1">
      <c r="C48" s="3"/>
      <c r="D48" s="3"/>
      <c r="E48" s="3"/>
      <c r="F48" s="3" t="s">
        <v>164</v>
      </c>
      <c r="G48" s="4"/>
      <c r="Q48" s="28" t="str">
        <f t="shared" si="6"/>
        <v/>
      </c>
      <c r="R48" s="29">
        <f t="shared" si="1"/>
        <v>0</v>
      </c>
      <c r="S48" s="29">
        <f t="shared" si="7"/>
        <v>0</v>
      </c>
      <c r="T48" s="29" t="str">
        <f t="shared" si="2"/>
        <v/>
      </c>
      <c r="U48" s="29" t="str">
        <f t="shared" si="8"/>
        <v/>
      </c>
    </row>
    <row r="49" ht="12.75" customHeight="1">
      <c r="C49" s="3"/>
      <c r="D49" s="3"/>
      <c r="E49" s="3"/>
      <c r="F49" s="3" t="s">
        <v>164</v>
      </c>
      <c r="G49" s="4"/>
      <c r="Q49" s="28" t="str">
        <f t="shared" si="6"/>
        <v/>
      </c>
      <c r="R49" s="29">
        <f t="shared" si="1"/>
        <v>0</v>
      </c>
      <c r="S49" s="29">
        <f t="shared" si="7"/>
        <v>0</v>
      </c>
      <c r="T49" s="29" t="str">
        <f t="shared" si="2"/>
        <v/>
      </c>
      <c r="U49" s="29" t="str">
        <f t="shared" si="8"/>
        <v/>
      </c>
    </row>
    <row r="50" ht="12.75" customHeight="1">
      <c r="C50" s="3"/>
      <c r="D50" s="3"/>
      <c r="E50" s="3"/>
      <c r="F50" s="3" t="s">
        <v>164</v>
      </c>
      <c r="G50" s="4"/>
      <c r="Q50" s="28" t="str">
        <f t="shared" si="6"/>
        <v/>
      </c>
      <c r="R50" s="29">
        <f t="shared" si="1"/>
        <v>0</v>
      </c>
      <c r="S50" s="29">
        <f t="shared" si="7"/>
        <v>0</v>
      </c>
      <c r="T50" s="29" t="str">
        <f t="shared" si="2"/>
        <v/>
      </c>
      <c r="U50" s="29" t="str">
        <f t="shared" si="8"/>
        <v/>
      </c>
    </row>
    <row r="51" ht="12.75" customHeight="1">
      <c r="C51" s="3"/>
      <c r="D51" s="3"/>
      <c r="E51" s="3"/>
      <c r="F51" s="3" t="s">
        <v>164</v>
      </c>
      <c r="G51" s="4"/>
      <c r="Q51" s="28" t="str">
        <f t="shared" si="6"/>
        <v/>
      </c>
      <c r="R51" s="29">
        <f t="shared" si="1"/>
        <v>0</v>
      </c>
      <c r="S51" s="29">
        <f t="shared" si="7"/>
        <v>0</v>
      </c>
      <c r="T51" s="29" t="str">
        <f t="shared" si="2"/>
        <v/>
      </c>
      <c r="U51" s="29" t="str">
        <f t="shared" si="8"/>
        <v/>
      </c>
    </row>
    <row r="52" ht="12.75" customHeight="1">
      <c r="C52" s="3"/>
      <c r="D52" s="3"/>
      <c r="E52" s="3"/>
      <c r="F52" s="3" t="s">
        <v>164</v>
      </c>
      <c r="G52" s="4"/>
      <c r="Q52" s="28" t="str">
        <f t="shared" si="6"/>
        <v/>
      </c>
      <c r="R52" s="29">
        <f t="shared" si="1"/>
        <v>0</v>
      </c>
      <c r="S52" s="29">
        <f t="shared" si="7"/>
        <v>0</v>
      </c>
      <c r="T52" s="29" t="str">
        <f t="shared" si="2"/>
        <v/>
      </c>
      <c r="U52" s="29" t="str">
        <f t="shared" si="8"/>
        <v/>
      </c>
    </row>
    <row r="53" ht="12.75" customHeight="1">
      <c r="C53" s="3"/>
      <c r="D53" s="3"/>
      <c r="E53" s="3"/>
      <c r="F53" s="3" t="s">
        <v>164</v>
      </c>
      <c r="G53" s="4"/>
      <c r="Q53" s="28" t="str">
        <f t="shared" si="6"/>
        <v/>
      </c>
      <c r="R53" s="29">
        <f t="shared" si="1"/>
        <v>0</v>
      </c>
      <c r="S53" s="29">
        <f t="shared" si="7"/>
        <v>0</v>
      </c>
      <c r="T53" s="29" t="str">
        <f t="shared" si="2"/>
        <v/>
      </c>
      <c r="U53" s="29" t="str">
        <f t="shared" si="8"/>
        <v/>
      </c>
    </row>
    <row r="54" ht="12.75" customHeight="1">
      <c r="C54" s="3"/>
      <c r="D54" s="3"/>
      <c r="E54" s="3"/>
      <c r="F54" s="3" t="s">
        <v>164</v>
      </c>
      <c r="G54" s="4"/>
      <c r="Q54" s="28" t="str">
        <f t="shared" si="6"/>
        <v/>
      </c>
      <c r="R54" s="29">
        <f t="shared" si="1"/>
        <v>0</v>
      </c>
      <c r="S54" s="29">
        <f t="shared" si="7"/>
        <v>0</v>
      </c>
      <c r="T54" s="29" t="str">
        <f t="shared" si="2"/>
        <v/>
      </c>
      <c r="U54" s="29" t="str">
        <f t="shared" si="8"/>
        <v/>
      </c>
    </row>
    <row r="55" ht="12.75" customHeight="1">
      <c r="C55" s="3"/>
      <c r="D55" s="3"/>
      <c r="E55" s="3"/>
      <c r="F55" s="3" t="s">
        <v>164</v>
      </c>
      <c r="G55" s="4"/>
      <c r="Q55" s="28" t="str">
        <f t="shared" si="6"/>
        <v/>
      </c>
      <c r="R55" s="29">
        <f t="shared" si="1"/>
        <v>0</v>
      </c>
      <c r="S55" s="29">
        <f t="shared" si="7"/>
        <v>0</v>
      </c>
      <c r="T55" s="29" t="str">
        <f t="shared" si="2"/>
        <v/>
      </c>
      <c r="U55" s="29" t="str">
        <f t="shared" si="8"/>
        <v/>
      </c>
    </row>
    <row r="56" ht="12.75" customHeight="1">
      <c r="C56" s="3"/>
      <c r="D56" s="3"/>
      <c r="E56" s="3"/>
      <c r="F56" s="3" t="s">
        <v>164</v>
      </c>
      <c r="G56" s="4"/>
      <c r="Q56" s="28" t="str">
        <f t="shared" si="6"/>
        <v/>
      </c>
      <c r="R56" s="29">
        <f t="shared" si="1"/>
        <v>0</v>
      </c>
      <c r="S56" s="29">
        <f t="shared" si="7"/>
        <v>0</v>
      </c>
      <c r="T56" s="29" t="str">
        <f t="shared" si="2"/>
        <v/>
      </c>
      <c r="U56" s="29" t="str">
        <f t="shared" si="8"/>
        <v/>
      </c>
    </row>
    <row r="57" ht="12.75" customHeight="1">
      <c r="C57" s="3"/>
      <c r="D57" s="3"/>
      <c r="E57" s="3"/>
      <c r="F57" s="3" t="s">
        <v>164</v>
      </c>
      <c r="G57" s="4"/>
      <c r="Q57" s="28" t="str">
        <f t="shared" si="6"/>
        <v/>
      </c>
      <c r="R57" s="29">
        <f t="shared" si="1"/>
        <v>0</v>
      </c>
      <c r="S57" s="29">
        <f t="shared" si="7"/>
        <v>0</v>
      </c>
      <c r="T57" s="29" t="str">
        <f t="shared" si="2"/>
        <v/>
      </c>
      <c r="U57" s="29" t="str">
        <f t="shared" si="8"/>
        <v/>
      </c>
    </row>
    <row r="58" ht="12.75" customHeight="1">
      <c r="C58" s="3"/>
      <c r="D58" s="3"/>
      <c r="E58" s="3"/>
      <c r="F58" s="3" t="s">
        <v>164</v>
      </c>
      <c r="G58" s="4"/>
      <c r="Q58" s="28" t="str">
        <f t="shared" si="6"/>
        <v/>
      </c>
      <c r="R58" s="29">
        <f t="shared" si="1"/>
        <v>0</v>
      </c>
      <c r="S58" s="29">
        <f t="shared" si="7"/>
        <v>0</v>
      </c>
      <c r="T58" s="29" t="str">
        <f t="shared" si="2"/>
        <v/>
      </c>
      <c r="U58" s="29" t="str">
        <f t="shared" si="8"/>
        <v/>
      </c>
    </row>
    <row r="59" ht="12.75" customHeight="1">
      <c r="C59" s="3"/>
      <c r="D59" s="3"/>
      <c r="E59" s="3"/>
      <c r="F59" s="3" t="s">
        <v>164</v>
      </c>
      <c r="G59" s="4"/>
      <c r="Q59" s="28" t="str">
        <f t="shared" si="6"/>
        <v/>
      </c>
      <c r="R59" s="29">
        <f t="shared" si="1"/>
        <v>0</v>
      </c>
      <c r="S59" s="29">
        <f t="shared" si="7"/>
        <v>0</v>
      </c>
      <c r="T59" s="29" t="str">
        <f t="shared" si="2"/>
        <v/>
      </c>
      <c r="U59" s="29" t="str">
        <f t="shared" si="8"/>
        <v/>
      </c>
    </row>
    <row r="60" ht="12.75" customHeight="1">
      <c r="C60" s="3"/>
      <c r="D60" s="3"/>
      <c r="E60" s="3"/>
      <c r="F60" s="3" t="s">
        <v>164</v>
      </c>
      <c r="G60" s="4"/>
      <c r="Q60" s="28" t="str">
        <f t="shared" si="6"/>
        <v/>
      </c>
      <c r="R60" s="29">
        <f t="shared" si="1"/>
        <v>0</v>
      </c>
      <c r="S60" s="29">
        <f t="shared" si="7"/>
        <v>0</v>
      </c>
      <c r="T60" s="29" t="str">
        <f t="shared" si="2"/>
        <v/>
      </c>
      <c r="U60" s="29" t="str">
        <f t="shared" si="8"/>
        <v/>
      </c>
    </row>
    <row r="61" ht="12.75" customHeight="1">
      <c r="C61" s="3"/>
      <c r="D61" s="3"/>
      <c r="E61" s="3"/>
      <c r="F61" s="3" t="s">
        <v>164</v>
      </c>
      <c r="G61" s="4"/>
      <c r="Q61" s="28" t="str">
        <f t="shared" si="6"/>
        <v/>
      </c>
      <c r="R61" s="29">
        <f t="shared" si="1"/>
        <v>0</v>
      </c>
      <c r="S61" s="29">
        <f t="shared" si="7"/>
        <v>0</v>
      </c>
      <c r="T61" s="29" t="str">
        <f t="shared" si="2"/>
        <v/>
      </c>
      <c r="U61" s="29" t="str">
        <f t="shared" si="8"/>
        <v/>
      </c>
    </row>
    <row r="62" ht="12.75" customHeight="1">
      <c r="C62" s="3"/>
      <c r="D62" s="3"/>
      <c r="E62" s="3"/>
      <c r="F62" s="3" t="s">
        <v>164</v>
      </c>
      <c r="G62" s="4"/>
      <c r="Q62" s="28" t="str">
        <f t="shared" si="6"/>
        <v/>
      </c>
      <c r="R62" s="29">
        <f t="shared" si="1"/>
        <v>0</v>
      </c>
      <c r="S62" s="29">
        <f t="shared" si="7"/>
        <v>0</v>
      </c>
      <c r="T62" s="29" t="str">
        <f t="shared" si="2"/>
        <v/>
      </c>
      <c r="U62" s="29" t="str">
        <f t="shared" si="8"/>
        <v/>
      </c>
    </row>
    <row r="63" ht="12.75" customHeight="1">
      <c r="C63" s="3"/>
      <c r="D63" s="3"/>
      <c r="E63" s="3"/>
      <c r="F63" s="3" t="s">
        <v>164</v>
      </c>
      <c r="G63" s="4"/>
      <c r="Q63" s="28" t="str">
        <f t="shared" si="6"/>
        <v/>
      </c>
      <c r="R63" s="29">
        <f t="shared" si="1"/>
        <v>0</v>
      </c>
      <c r="S63" s="29">
        <f t="shared" si="7"/>
        <v>0</v>
      </c>
      <c r="T63" s="29" t="str">
        <f t="shared" si="2"/>
        <v/>
      </c>
      <c r="U63" s="29" t="str">
        <f t="shared" si="8"/>
        <v/>
      </c>
    </row>
    <row r="64" ht="12.75" customHeight="1">
      <c r="C64" s="3"/>
      <c r="D64" s="3"/>
      <c r="E64" s="3"/>
      <c r="F64" s="3" t="s">
        <v>164</v>
      </c>
      <c r="G64" s="4"/>
      <c r="Q64" s="28" t="str">
        <f t="shared" si="6"/>
        <v/>
      </c>
      <c r="R64" s="29">
        <f t="shared" si="1"/>
        <v>0</v>
      </c>
      <c r="S64" s="29">
        <f t="shared" si="7"/>
        <v>0</v>
      </c>
      <c r="T64" s="29" t="str">
        <f t="shared" si="2"/>
        <v/>
      </c>
      <c r="U64" s="29" t="str">
        <f t="shared" si="8"/>
        <v/>
      </c>
    </row>
    <row r="65" ht="12.75" customHeight="1">
      <c r="C65" s="3"/>
      <c r="D65" s="3"/>
      <c r="E65" s="3"/>
      <c r="F65" s="3" t="s">
        <v>164</v>
      </c>
      <c r="G65" s="4"/>
      <c r="Q65" s="28" t="str">
        <f t="shared" si="6"/>
        <v/>
      </c>
      <c r="R65" s="29">
        <f t="shared" si="1"/>
        <v>0</v>
      </c>
      <c r="S65" s="29">
        <f t="shared" si="7"/>
        <v>0</v>
      </c>
      <c r="T65" s="29" t="str">
        <f t="shared" si="2"/>
        <v/>
      </c>
      <c r="U65" s="29" t="str">
        <f t="shared" si="8"/>
        <v/>
      </c>
    </row>
    <row r="66" ht="12.75" customHeight="1">
      <c r="C66" s="3"/>
      <c r="D66" s="3"/>
      <c r="E66" s="3"/>
      <c r="F66" s="3" t="s">
        <v>164</v>
      </c>
      <c r="G66" s="4"/>
      <c r="Q66" s="28" t="str">
        <f t="shared" si="6"/>
        <v/>
      </c>
      <c r="R66" s="29">
        <f t="shared" si="1"/>
        <v>0</v>
      </c>
      <c r="S66" s="29">
        <f t="shared" si="7"/>
        <v>0</v>
      </c>
      <c r="T66" s="29" t="str">
        <f t="shared" si="2"/>
        <v/>
      </c>
      <c r="U66" s="29" t="str">
        <f t="shared" si="8"/>
        <v/>
      </c>
    </row>
    <row r="67" ht="12.75" customHeight="1">
      <c r="C67" s="3"/>
      <c r="D67" s="3"/>
      <c r="E67" s="3"/>
      <c r="F67" s="3" t="s">
        <v>164</v>
      </c>
      <c r="G67" s="4"/>
      <c r="Q67" s="28" t="str">
        <f t="shared" si="6"/>
        <v/>
      </c>
      <c r="R67" s="29">
        <f t="shared" si="1"/>
        <v>0</v>
      </c>
      <c r="S67" s="29">
        <f t="shared" si="7"/>
        <v>0</v>
      </c>
      <c r="T67" s="29" t="str">
        <f t="shared" si="2"/>
        <v/>
      </c>
      <c r="U67" s="29" t="str">
        <f t="shared" si="8"/>
        <v/>
      </c>
    </row>
    <row r="68" ht="12.75" customHeight="1">
      <c r="C68" s="3"/>
      <c r="D68" s="3"/>
      <c r="E68" s="3"/>
      <c r="F68" s="3" t="s">
        <v>164</v>
      </c>
      <c r="G68" s="4"/>
      <c r="Q68" s="28" t="str">
        <f t="shared" si="6"/>
        <v/>
      </c>
      <c r="R68" s="29">
        <f t="shared" si="1"/>
        <v>0</v>
      </c>
      <c r="S68" s="29">
        <f t="shared" si="7"/>
        <v>0</v>
      </c>
      <c r="T68" s="29" t="str">
        <f t="shared" si="2"/>
        <v/>
      </c>
      <c r="U68" s="29" t="str">
        <f t="shared" si="8"/>
        <v/>
      </c>
    </row>
    <row r="69" ht="12.75" customHeight="1">
      <c r="C69" s="3"/>
      <c r="D69" s="3"/>
      <c r="E69" s="3"/>
      <c r="F69" s="3" t="s">
        <v>164</v>
      </c>
      <c r="G69" s="4"/>
      <c r="Q69" s="28" t="str">
        <f t="shared" si="6"/>
        <v/>
      </c>
      <c r="R69" s="29">
        <f t="shared" si="1"/>
        <v>0</v>
      </c>
      <c r="S69" s="29">
        <f t="shared" si="7"/>
        <v>0</v>
      </c>
      <c r="T69" s="29" t="str">
        <f t="shared" si="2"/>
        <v/>
      </c>
      <c r="U69" s="29" t="str">
        <f t="shared" si="8"/>
        <v/>
      </c>
    </row>
    <row r="70" ht="12.75" customHeight="1">
      <c r="C70" s="3"/>
      <c r="D70" s="3"/>
      <c r="E70" s="3"/>
      <c r="F70" s="3" t="s">
        <v>164</v>
      </c>
      <c r="G70" s="4"/>
      <c r="Q70" s="28" t="str">
        <f t="shared" si="6"/>
        <v/>
      </c>
      <c r="R70" s="29">
        <f t="shared" si="1"/>
        <v>0</v>
      </c>
      <c r="S70" s="29">
        <f t="shared" si="7"/>
        <v>0</v>
      </c>
      <c r="T70" s="29" t="str">
        <f t="shared" si="2"/>
        <v/>
      </c>
      <c r="U70" s="29" t="str">
        <f t="shared" si="8"/>
        <v/>
      </c>
    </row>
    <row r="71" ht="12.75" customHeight="1">
      <c r="C71" s="3"/>
      <c r="D71" s="3"/>
      <c r="E71" s="3"/>
      <c r="F71" s="3" t="s">
        <v>164</v>
      </c>
      <c r="G71" s="4"/>
      <c r="Q71" s="28" t="str">
        <f t="shared" si="6"/>
        <v/>
      </c>
      <c r="R71" s="29">
        <f t="shared" si="1"/>
        <v>0</v>
      </c>
      <c r="S71" s="29">
        <f t="shared" si="7"/>
        <v>0</v>
      </c>
      <c r="T71" s="29" t="str">
        <f t="shared" si="2"/>
        <v/>
      </c>
      <c r="U71" s="29" t="str">
        <f t="shared" si="8"/>
        <v/>
      </c>
    </row>
    <row r="72" ht="12.75" customHeight="1">
      <c r="C72" s="3"/>
      <c r="D72" s="3"/>
      <c r="E72" s="3"/>
      <c r="F72" s="3" t="s">
        <v>164</v>
      </c>
      <c r="G72" s="4"/>
      <c r="Q72" s="28" t="str">
        <f t="shared" si="6"/>
        <v/>
      </c>
      <c r="R72" s="29">
        <f t="shared" si="1"/>
        <v>0</v>
      </c>
      <c r="S72" s="29">
        <f t="shared" si="7"/>
        <v>0</v>
      </c>
      <c r="T72" s="29" t="str">
        <f t="shared" si="2"/>
        <v/>
      </c>
      <c r="U72" s="29" t="str">
        <f t="shared" si="8"/>
        <v/>
      </c>
    </row>
    <row r="73" ht="12.75" customHeight="1">
      <c r="C73" s="3"/>
      <c r="D73" s="3"/>
      <c r="E73" s="3"/>
      <c r="F73" s="3" t="s">
        <v>164</v>
      </c>
      <c r="G73" s="4"/>
      <c r="Q73" s="28" t="str">
        <f t="shared" si="6"/>
        <v/>
      </c>
      <c r="R73" s="29">
        <f t="shared" si="1"/>
        <v>0</v>
      </c>
      <c r="S73" s="29">
        <f t="shared" si="7"/>
        <v>0</v>
      </c>
      <c r="T73" s="29" t="str">
        <f t="shared" si="2"/>
        <v/>
      </c>
      <c r="U73" s="29" t="str">
        <f t="shared" si="8"/>
        <v/>
      </c>
    </row>
    <row r="74" ht="12.75" customHeight="1">
      <c r="C74" s="3"/>
      <c r="D74" s="3"/>
      <c r="E74" s="3"/>
      <c r="F74" s="3" t="s">
        <v>164</v>
      </c>
      <c r="G74" s="4"/>
      <c r="Q74" s="28" t="str">
        <f t="shared" si="6"/>
        <v/>
      </c>
      <c r="R74" s="29">
        <f t="shared" si="1"/>
        <v>0</v>
      </c>
      <c r="S74" s="29">
        <f t="shared" si="7"/>
        <v>0</v>
      </c>
      <c r="T74" s="29" t="str">
        <f t="shared" si="2"/>
        <v/>
      </c>
      <c r="U74" s="29" t="str">
        <f t="shared" si="8"/>
        <v/>
      </c>
    </row>
    <row r="75" ht="12.75" customHeight="1">
      <c r="C75" s="3"/>
      <c r="D75" s="3"/>
      <c r="E75" s="3"/>
      <c r="F75" s="3" t="s">
        <v>164</v>
      </c>
      <c r="G75" s="4"/>
      <c r="Q75" s="28" t="str">
        <f t="shared" si="6"/>
        <v/>
      </c>
      <c r="R75" s="29">
        <f t="shared" si="1"/>
        <v>0</v>
      </c>
      <c r="S75" s="29">
        <f t="shared" si="7"/>
        <v>0</v>
      </c>
      <c r="T75" s="29" t="str">
        <f t="shared" si="2"/>
        <v/>
      </c>
      <c r="U75" s="29" t="str">
        <f t="shared" si="8"/>
        <v/>
      </c>
    </row>
    <row r="76" ht="12.75" customHeight="1">
      <c r="C76" s="3"/>
      <c r="D76" s="3"/>
      <c r="E76" s="3"/>
      <c r="F76" s="3" t="s">
        <v>164</v>
      </c>
      <c r="G76" s="4"/>
      <c r="Q76" s="28" t="str">
        <f t="shared" si="6"/>
        <v/>
      </c>
      <c r="R76" s="29">
        <f t="shared" si="1"/>
        <v>0</v>
      </c>
      <c r="S76" s="29">
        <f t="shared" si="7"/>
        <v>0</v>
      </c>
      <c r="T76" s="29" t="str">
        <f t="shared" si="2"/>
        <v/>
      </c>
      <c r="U76" s="29" t="str">
        <f t="shared" si="8"/>
        <v/>
      </c>
    </row>
    <row r="77" ht="12.75" customHeight="1">
      <c r="C77" s="3"/>
      <c r="D77" s="3"/>
      <c r="E77" s="3"/>
      <c r="F77" s="3" t="s">
        <v>164</v>
      </c>
      <c r="G77" s="4"/>
      <c r="Q77" s="28" t="str">
        <f t="shared" si="6"/>
        <v/>
      </c>
      <c r="R77" s="29">
        <f t="shared" si="1"/>
        <v>0</v>
      </c>
      <c r="S77" s="29">
        <f t="shared" si="7"/>
        <v>0</v>
      </c>
      <c r="T77" s="29" t="str">
        <f t="shared" si="2"/>
        <v/>
      </c>
      <c r="U77" s="29" t="str">
        <f t="shared" si="8"/>
        <v/>
      </c>
    </row>
    <row r="78" ht="12.75" customHeight="1">
      <c r="C78" s="3"/>
      <c r="D78" s="3"/>
      <c r="E78" s="3"/>
      <c r="F78" s="3" t="s">
        <v>164</v>
      </c>
      <c r="G78" s="4"/>
      <c r="Q78" s="28" t="str">
        <f t="shared" si="6"/>
        <v/>
      </c>
      <c r="R78" s="29">
        <f t="shared" si="1"/>
        <v>0</v>
      </c>
      <c r="S78" s="29">
        <f t="shared" si="7"/>
        <v>0</v>
      </c>
      <c r="T78" s="29" t="str">
        <f t="shared" si="2"/>
        <v/>
      </c>
      <c r="U78" s="29" t="str">
        <f t="shared" si="8"/>
        <v/>
      </c>
    </row>
    <row r="79" ht="12.75" customHeight="1">
      <c r="C79" s="3"/>
      <c r="D79" s="3"/>
      <c r="E79" s="3"/>
      <c r="F79" s="3" t="s">
        <v>164</v>
      </c>
      <c r="G79" s="4"/>
      <c r="Q79" s="28" t="str">
        <f t="shared" si="6"/>
        <v/>
      </c>
      <c r="R79" s="29">
        <f t="shared" si="1"/>
        <v>0</v>
      </c>
      <c r="S79" s="29">
        <f t="shared" si="7"/>
        <v>0</v>
      </c>
      <c r="T79" s="29" t="str">
        <f t="shared" si="2"/>
        <v/>
      </c>
      <c r="U79" s="29" t="str">
        <f t="shared" si="8"/>
        <v/>
      </c>
    </row>
    <row r="80" ht="12.75" customHeight="1">
      <c r="C80" s="3"/>
      <c r="D80" s="3"/>
      <c r="E80" s="3"/>
      <c r="F80" s="3" t="s">
        <v>164</v>
      </c>
      <c r="G80" s="4"/>
      <c r="Q80" s="28" t="str">
        <f t="shared" si="6"/>
        <v/>
      </c>
      <c r="R80" s="29">
        <f t="shared" si="1"/>
        <v>0</v>
      </c>
      <c r="S80" s="29">
        <f t="shared" si="7"/>
        <v>0</v>
      </c>
      <c r="T80" s="29" t="str">
        <f t="shared" si="2"/>
        <v/>
      </c>
      <c r="U80" s="29" t="str">
        <f t="shared" si="8"/>
        <v/>
      </c>
    </row>
    <row r="81" ht="12.75" customHeight="1">
      <c r="C81" s="3"/>
      <c r="D81" s="3"/>
      <c r="E81" s="3"/>
      <c r="F81" s="3" t="s">
        <v>164</v>
      </c>
      <c r="G81" s="4"/>
      <c r="Q81" s="28" t="str">
        <f t="shared" si="6"/>
        <v/>
      </c>
      <c r="R81" s="29">
        <f t="shared" si="1"/>
        <v>0</v>
      </c>
      <c r="S81" s="29">
        <f t="shared" si="7"/>
        <v>0</v>
      </c>
      <c r="T81" s="29" t="str">
        <f t="shared" si="2"/>
        <v/>
      </c>
      <c r="U81" s="29" t="str">
        <f t="shared" si="8"/>
        <v/>
      </c>
    </row>
    <row r="82" ht="12.75" customHeight="1">
      <c r="C82" s="3"/>
      <c r="D82" s="3"/>
      <c r="E82" s="3"/>
      <c r="F82" s="3" t="s">
        <v>164</v>
      </c>
      <c r="G82" s="4"/>
      <c r="Q82" s="28" t="str">
        <f t="shared" si="6"/>
        <v/>
      </c>
      <c r="R82" s="29">
        <f t="shared" si="1"/>
        <v>0</v>
      </c>
      <c r="S82" s="29">
        <f t="shared" si="7"/>
        <v>0</v>
      </c>
      <c r="T82" s="29" t="str">
        <f t="shared" si="2"/>
        <v/>
      </c>
      <c r="U82" s="29" t="str">
        <f t="shared" si="8"/>
        <v/>
      </c>
    </row>
    <row r="83" ht="12.75" customHeight="1">
      <c r="C83" s="3"/>
      <c r="D83" s="3"/>
      <c r="E83" s="3"/>
      <c r="F83" s="3" t="s">
        <v>164</v>
      </c>
      <c r="G83" s="4"/>
      <c r="Q83" s="28" t="str">
        <f t="shared" si="6"/>
        <v/>
      </c>
      <c r="R83" s="29">
        <f t="shared" si="1"/>
        <v>0</v>
      </c>
      <c r="S83" s="29">
        <f t="shared" si="7"/>
        <v>0</v>
      </c>
      <c r="T83" s="29" t="str">
        <f t="shared" si="2"/>
        <v/>
      </c>
      <c r="U83" s="29" t="str">
        <f t="shared" si="8"/>
        <v/>
      </c>
    </row>
    <row r="84" ht="12.75" customHeight="1">
      <c r="C84" s="3"/>
      <c r="D84" s="3"/>
      <c r="E84" s="3"/>
      <c r="F84" s="3" t="s">
        <v>164</v>
      </c>
      <c r="G84" s="4"/>
      <c r="Q84" s="28" t="str">
        <f t="shared" si="6"/>
        <v/>
      </c>
      <c r="R84" s="29">
        <f t="shared" si="1"/>
        <v>0</v>
      </c>
      <c r="S84" s="29">
        <f t="shared" si="7"/>
        <v>0</v>
      </c>
      <c r="T84" s="29" t="str">
        <f t="shared" si="2"/>
        <v/>
      </c>
      <c r="U84" s="29" t="str">
        <f t="shared" si="8"/>
        <v/>
      </c>
    </row>
    <row r="85" ht="12.75" customHeight="1">
      <c r="C85" s="3"/>
      <c r="D85" s="3"/>
      <c r="E85" s="3"/>
      <c r="F85" s="3" t="s">
        <v>164</v>
      </c>
      <c r="G85" s="4"/>
      <c r="Q85" s="28" t="str">
        <f t="shared" si="6"/>
        <v/>
      </c>
      <c r="R85" s="29">
        <f t="shared" si="1"/>
        <v>0</v>
      </c>
      <c r="S85" s="29">
        <f t="shared" si="7"/>
        <v>0</v>
      </c>
      <c r="T85" s="29" t="str">
        <f t="shared" si="2"/>
        <v/>
      </c>
      <c r="U85" s="29" t="str">
        <f t="shared" si="8"/>
        <v/>
      </c>
    </row>
    <row r="86" ht="12.75" customHeight="1">
      <c r="C86" s="3"/>
      <c r="D86" s="3"/>
      <c r="E86" s="3"/>
      <c r="F86" s="3" t="s">
        <v>164</v>
      </c>
      <c r="G86" s="4"/>
      <c r="Q86" s="28" t="str">
        <f t="shared" si="6"/>
        <v/>
      </c>
      <c r="R86" s="29">
        <f t="shared" si="1"/>
        <v>0</v>
      </c>
      <c r="S86" s="29">
        <f t="shared" si="7"/>
        <v>0</v>
      </c>
      <c r="T86" s="29" t="str">
        <f t="shared" si="2"/>
        <v/>
      </c>
      <c r="U86" s="29" t="str">
        <f t="shared" si="8"/>
        <v/>
      </c>
    </row>
    <row r="87" ht="12.75" customHeight="1">
      <c r="C87" s="3"/>
      <c r="D87" s="3"/>
      <c r="E87" s="3"/>
      <c r="F87" s="3" t="s">
        <v>164</v>
      </c>
      <c r="G87" s="4"/>
      <c r="Q87" s="28" t="str">
        <f t="shared" si="6"/>
        <v/>
      </c>
      <c r="R87" s="29">
        <f t="shared" si="1"/>
        <v>0</v>
      </c>
      <c r="S87" s="29">
        <f t="shared" si="7"/>
        <v>0</v>
      </c>
      <c r="T87" s="29" t="str">
        <f t="shared" si="2"/>
        <v/>
      </c>
      <c r="U87" s="29" t="str">
        <f t="shared" si="8"/>
        <v/>
      </c>
    </row>
    <row r="88" ht="12.75" customHeight="1">
      <c r="C88" s="3"/>
      <c r="D88" s="3"/>
      <c r="E88" s="3"/>
      <c r="F88" s="3" t="s">
        <v>164</v>
      </c>
      <c r="G88" s="4"/>
      <c r="Q88" s="28" t="str">
        <f t="shared" si="6"/>
        <v/>
      </c>
      <c r="R88" s="29">
        <f t="shared" si="1"/>
        <v>0</v>
      </c>
      <c r="S88" s="29">
        <f t="shared" si="7"/>
        <v>0</v>
      </c>
      <c r="T88" s="29" t="str">
        <f t="shared" si="2"/>
        <v/>
      </c>
      <c r="U88" s="29" t="str">
        <f t="shared" si="8"/>
        <v/>
      </c>
    </row>
    <row r="89" ht="12.75" customHeight="1">
      <c r="C89" s="3"/>
      <c r="D89" s="3"/>
      <c r="E89" s="3"/>
      <c r="F89" s="3" t="s">
        <v>164</v>
      </c>
      <c r="G89" s="4"/>
      <c r="Q89" s="28" t="str">
        <f t="shared" si="6"/>
        <v/>
      </c>
      <c r="R89" s="29">
        <f t="shared" si="1"/>
        <v>0</v>
      </c>
      <c r="S89" s="29">
        <f t="shared" si="7"/>
        <v>0</v>
      </c>
      <c r="T89" s="29" t="str">
        <f t="shared" si="2"/>
        <v/>
      </c>
      <c r="U89" s="29" t="str">
        <f t="shared" si="8"/>
        <v/>
      </c>
    </row>
    <row r="90" ht="12.75" customHeight="1">
      <c r="C90" s="3"/>
      <c r="D90" s="3"/>
      <c r="E90" s="3"/>
      <c r="F90" s="3" t="s">
        <v>164</v>
      </c>
      <c r="G90" s="4"/>
      <c r="Q90" s="28" t="str">
        <f t="shared" si="6"/>
        <v/>
      </c>
      <c r="R90" s="29">
        <f t="shared" si="1"/>
        <v>0</v>
      </c>
      <c r="S90" s="29">
        <f t="shared" si="7"/>
        <v>0</v>
      </c>
      <c r="T90" s="29" t="str">
        <f t="shared" si="2"/>
        <v/>
      </c>
      <c r="U90" s="29" t="str">
        <f t="shared" si="8"/>
        <v/>
      </c>
    </row>
    <row r="91" ht="12.75" customHeight="1">
      <c r="C91" s="3"/>
      <c r="D91" s="3"/>
      <c r="E91" s="3"/>
      <c r="F91" s="3" t="s">
        <v>164</v>
      </c>
      <c r="G91" s="4"/>
      <c r="Q91" s="28" t="str">
        <f t="shared" si="6"/>
        <v/>
      </c>
      <c r="R91" s="29">
        <f t="shared" si="1"/>
        <v>0</v>
      </c>
      <c r="S91" s="29">
        <f t="shared" si="7"/>
        <v>0</v>
      </c>
      <c r="T91" s="29" t="str">
        <f t="shared" si="2"/>
        <v/>
      </c>
      <c r="U91" s="29" t="str">
        <f t="shared" si="8"/>
        <v/>
      </c>
    </row>
    <row r="92" ht="12.75" customHeight="1">
      <c r="C92" s="3"/>
      <c r="D92" s="3"/>
      <c r="E92" s="3"/>
      <c r="F92" s="3" t="s">
        <v>164</v>
      </c>
      <c r="G92" s="4"/>
      <c r="Q92" s="28" t="str">
        <f t="shared" si="6"/>
        <v/>
      </c>
      <c r="R92" s="29">
        <f t="shared" si="1"/>
        <v>0</v>
      </c>
      <c r="S92" s="29">
        <f t="shared" si="7"/>
        <v>0</v>
      </c>
      <c r="T92" s="29" t="str">
        <f t="shared" si="2"/>
        <v/>
      </c>
      <c r="U92" s="29" t="str">
        <f t="shared" si="8"/>
        <v/>
      </c>
    </row>
    <row r="93" ht="12.75" customHeight="1">
      <c r="C93" s="3"/>
      <c r="D93" s="3"/>
      <c r="E93" s="3"/>
      <c r="F93" s="3" t="s">
        <v>164</v>
      </c>
      <c r="G93" s="4"/>
      <c r="Q93" s="28" t="str">
        <f t="shared" si="6"/>
        <v/>
      </c>
      <c r="R93" s="29">
        <f t="shared" si="1"/>
        <v>0</v>
      </c>
      <c r="S93" s="29">
        <f t="shared" si="7"/>
        <v>0</v>
      </c>
      <c r="T93" s="29" t="str">
        <f t="shared" si="2"/>
        <v/>
      </c>
      <c r="U93" s="29" t="str">
        <f t="shared" si="8"/>
        <v/>
      </c>
    </row>
    <row r="94" ht="12.75" customHeight="1">
      <c r="C94" s="3"/>
      <c r="D94" s="3"/>
      <c r="E94" s="3"/>
      <c r="F94" s="3" t="s">
        <v>164</v>
      </c>
      <c r="G94" s="4"/>
      <c r="Q94" s="28" t="str">
        <f t="shared" si="6"/>
        <v/>
      </c>
      <c r="R94" s="29">
        <f t="shared" si="1"/>
        <v>0</v>
      </c>
      <c r="S94" s="29">
        <f t="shared" si="7"/>
        <v>0</v>
      </c>
      <c r="T94" s="29" t="str">
        <f t="shared" si="2"/>
        <v/>
      </c>
      <c r="U94" s="29" t="str">
        <f t="shared" si="8"/>
        <v/>
      </c>
    </row>
    <row r="95" ht="12.75" customHeight="1">
      <c r="C95" s="3"/>
      <c r="D95" s="3"/>
      <c r="E95" s="3"/>
      <c r="F95" s="3" t="s">
        <v>164</v>
      </c>
      <c r="G95" s="4"/>
      <c r="Q95" s="28" t="str">
        <f t="shared" si="6"/>
        <v/>
      </c>
      <c r="R95" s="29">
        <f t="shared" si="1"/>
        <v>0</v>
      </c>
      <c r="S95" s="29">
        <f t="shared" si="7"/>
        <v>0</v>
      </c>
      <c r="T95" s="29" t="str">
        <f t="shared" si="2"/>
        <v/>
      </c>
      <c r="U95" s="29" t="str">
        <f t="shared" si="8"/>
        <v/>
      </c>
    </row>
    <row r="96" ht="12.75" customHeight="1">
      <c r="C96" s="3"/>
      <c r="D96" s="3"/>
      <c r="E96" s="3"/>
      <c r="F96" s="3" t="s">
        <v>164</v>
      </c>
      <c r="G96" s="4"/>
      <c r="Q96" s="28" t="str">
        <f t="shared" si="6"/>
        <v/>
      </c>
      <c r="R96" s="29">
        <f t="shared" si="1"/>
        <v>0</v>
      </c>
      <c r="S96" s="29">
        <f t="shared" si="7"/>
        <v>0</v>
      </c>
      <c r="T96" s="29" t="str">
        <f t="shared" si="2"/>
        <v/>
      </c>
      <c r="U96" s="29" t="str">
        <f t="shared" si="8"/>
        <v/>
      </c>
    </row>
    <row r="97" ht="12.75" customHeight="1">
      <c r="C97" s="3"/>
      <c r="D97" s="3"/>
      <c r="E97" s="3"/>
      <c r="F97" s="3" t="s">
        <v>164</v>
      </c>
      <c r="G97" s="4"/>
      <c r="Q97" s="28" t="str">
        <f t="shared" si="6"/>
        <v/>
      </c>
      <c r="R97" s="29">
        <f t="shared" si="1"/>
        <v>0</v>
      </c>
      <c r="S97" s="29">
        <f t="shared" si="7"/>
        <v>0</v>
      </c>
      <c r="T97" s="29" t="str">
        <f t="shared" si="2"/>
        <v/>
      </c>
      <c r="U97" s="29" t="str">
        <f t="shared" si="8"/>
        <v/>
      </c>
    </row>
    <row r="98" ht="12.75" customHeight="1">
      <c r="C98" s="3"/>
      <c r="D98" s="3"/>
      <c r="E98" s="3"/>
      <c r="F98" s="3" t="s">
        <v>164</v>
      </c>
      <c r="G98" s="4"/>
      <c r="Q98" s="28" t="str">
        <f t="shared" si="6"/>
        <v/>
      </c>
      <c r="R98" s="29">
        <f t="shared" si="1"/>
        <v>0</v>
      </c>
      <c r="S98" s="29">
        <f t="shared" si="7"/>
        <v>0</v>
      </c>
      <c r="T98" s="29" t="str">
        <f t="shared" si="2"/>
        <v/>
      </c>
      <c r="U98" s="29" t="str">
        <f t="shared" si="8"/>
        <v/>
      </c>
    </row>
    <row r="99" ht="12.75" customHeight="1">
      <c r="C99" s="3"/>
      <c r="D99" s="3"/>
      <c r="E99" s="3"/>
      <c r="F99" s="3" t="s">
        <v>164</v>
      </c>
      <c r="G99" s="4"/>
      <c r="Q99" s="28" t="str">
        <f t="shared" si="6"/>
        <v/>
      </c>
      <c r="R99" s="29">
        <f t="shared" si="1"/>
        <v>0</v>
      </c>
      <c r="S99" s="29">
        <f t="shared" si="7"/>
        <v>0</v>
      </c>
      <c r="T99" s="29" t="str">
        <f t="shared" si="2"/>
        <v/>
      </c>
      <c r="U99" s="29" t="str">
        <f t="shared" si="8"/>
        <v/>
      </c>
    </row>
    <row r="100" ht="12.75" customHeight="1">
      <c r="C100" s="3"/>
      <c r="D100" s="3"/>
      <c r="E100" s="3"/>
      <c r="F100" s="3" t="s">
        <v>164</v>
      </c>
      <c r="G100" s="4"/>
      <c r="Q100" s="28" t="str">
        <f t="shared" si="6"/>
        <v/>
      </c>
      <c r="R100" s="29">
        <f t="shared" si="1"/>
        <v>0</v>
      </c>
      <c r="S100" s="29">
        <f t="shared" si="7"/>
        <v>0</v>
      </c>
      <c r="T100" s="29" t="str">
        <f t="shared" si="2"/>
        <v/>
      </c>
      <c r="U100" s="29" t="str">
        <f t="shared" si="8"/>
        <v/>
      </c>
    </row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F2:F100">
    <cfRule type="containsText" dxfId="3" priority="1" operator="containsText" text="Done">
      <formula>NOT(ISERROR(SEARCH(("Done"),(F2))))</formula>
    </cfRule>
  </conditionalFormatting>
  <conditionalFormatting sqref="F2:F100">
    <cfRule type="containsText" dxfId="6" priority="2" operator="containsText" text="In Progress">
      <formula>NOT(ISERROR(SEARCH(("In Progress"),(F2))))</formula>
    </cfRule>
  </conditionalFormatting>
  <conditionalFormatting sqref="F2:F100">
    <cfRule type="containsText" dxfId="7" priority="3" operator="containsText" text="To Do">
      <formula>NOT(ISERROR(SEARCH(("To Do"),(F2))))</formula>
    </cfRule>
  </conditionalFormatting>
  <dataValidations>
    <dataValidation type="list" allowBlank="1" showErrorMessage="1" sqref="F2:F100">
      <formula1>"To Do,In Progress,Done"</formula1>
    </dataValidation>
    <dataValidation type="decimal" operator="greaterThan" allowBlank="1" showDropDown="1" showErrorMessage="1" sqref="J4 C2:D100">
      <formula1>0.0</formula1>
    </dataValidation>
    <dataValidation type="custom" allowBlank="1" showDropDown="1" showErrorMessage="1" sqref="J3">
      <formula1>OR(NOT(ISERROR(DATEVALUE(J3))), AND(ISNUMBER(J3), LEFT(CELL("format", J3))="D"))</formula1>
    </dataValidation>
    <dataValidation type="list" allowBlank="1" sqref="G2:G100">
      <formula1>$Q$2:$Q$40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2022-10-05T06:04:19Z</dcterms:created>
  <dc:creator>openpyxl</dc:creator>
</cp:coreProperties>
</file>